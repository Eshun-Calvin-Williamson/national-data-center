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1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.xml" ContentType="application/vnd.openxmlformats-officedocument.spreadsheetml.comments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AF1AC65-EEC1-40DB-B5E1-01850062B964}" xr6:coauthVersionLast="36" xr6:coauthVersionMax="36" xr10:uidLastSave="{00000000-0000-0000-0000-000000000000}"/>
  <bookViews>
    <workbookView xWindow="0" yWindow="0" windowWidth="20490" windowHeight="7545" firstSheet="6" activeTab="11" xr2:uid="{28187CF2-E9BE-48FD-8FBB-BAA1E9FB4CB1}"/>
  </bookViews>
  <sheets>
    <sheet name="CONDITIONAL FORMATING" sheetId="1" r:id="rId1"/>
    <sheet name="DATA VALIDATION" sheetId="2" r:id="rId2"/>
    <sheet name="Sheet4" sheetId="4" r:id="rId3"/>
    <sheet name="TOP OR BUTTON RULES" sheetId="3" r:id="rId4"/>
    <sheet name="lookup functions" sheetId="5" r:id="rId5"/>
    <sheet name="table merge" sheetId="9" r:id="rId6"/>
    <sheet name="DATE FUNCTION" sheetId="13" r:id="rId7"/>
    <sheet name="Sheet2" sheetId="12" r:id="rId8"/>
    <sheet name="Sheet1" sheetId="11" r:id="rId9"/>
    <sheet name="wk" sheetId="10" r:id="rId10"/>
    <sheet name="HLOOKUP" sheetId="7" r:id="rId11"/>
    <sheet name="If FUNCTION" sheetId="6" r:id="rId12"/>
    <sheet name="VLOOKUP" sheetId="8" r:id="rId13"/>
  </sheets>
  <definedNames>
    <definedName name="ExternalData_1" localSheetId="8" hidden="1">Sheet1!#REF!</definedName>
    <definedName name="ExternalData_2" localSheetId="7" hidden="1">Sheet2!$A$1:$D$12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3" l="1"/>
  <c r="H16" i="13"/>
  <c r="I16" i="13" s="1"/>
  <c r="E16" i="13"/>
  <c r="F16" i="13" s="1"/>
  <c r="B8" i="13"/>
  <c r="B7" i="13"/>
  <c r="B6" i="13"/>
  <c r="B5" i="13"/>
  <c r="B4" i="13"/>
  <c r="B3" i="13"/>
  <c r="F12" i="9" l="1"/>
  <c r="G12" i="9"/>
  <c r="F11" i="9"/>
  <c r="G11" i="9"/>
  <c r="G10" i="9" l="1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G2" i="9"/>
  <c r="F2" i="9"/>
  <c r="K15" i="7" l="1"/>
  <c r="L10" i="7"/>
  <c r="K10" i="7"/>
  <c r="L5" i="7"/>
  <c r="I8" i="8" l="1"/>
  <c r="I9" i="8"/>
  <c r="I7" i="8"/>
  <c r="H8" i="8"/>
  <c r="H9" i="8"/>
  <c r="H7" i="8"/>
  <c r="G5" i="7" l="1"/>
  <c r="G4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G4" i="6" l="1"/>
  <c r="G5" i="6"/>
  <c r="G6" i="6"/>
  <c r="G7" i="6"/>
  <c r="G8" i="6"/>
  <c r="G9" i="6"/>
  <c r="G10" i="6"/>
  <c r="G11" i="6"/>
  <c r="G12" i="6"/>
  <c r="R4" i="5"/>
  <c r="P4" i="5"/>
  <c r="O4" i="5"/>
  <c r="N4" i="5"/>
  <c r="G3" i="5"/>
  <c r="G4" i="5"/>
  <c r="G5" i="5"/>
  <c r="G6" i="5"/>
  <c r="G7" i="5"/>
  <c r="G8" i="5"/>
  <c r="G10" i="5"/>
  <c r="G11" i="5"/>
  <c r="M4" i="5"/>
  <c r="F12" i="6"/>
  <c r="F11" i="6"/>
  <c r="F10" i="6"/>
  <c r="F9" i="6"/>
  <c r="F8" i="6"/>
  <c r="F7" i="6"/>
  <c r="F6" i="6"/>
  <c r="F5" i="6"/>
  <c r="F4" i="6"/>
  <c r="F3" i="5" l="1"/>
  <c r="Q4" i="5" s="1"/>
  <c r="F4" i="5"/>
  <c r="F5" i="5"/>
  <c r="F6" i="5"/>
  <c r="F7" i="5"/>
  <c r="F8" i="5"/>
  <c r="F9" i="5"/>
  <c r="F10" i="5"/>
  <c r="F11" i="5"/>
  <c r="I19" i="3" l="1"/>
  <c r="I18" i="3"/>
  <c r="I17" i="3"/>
  <c r="I16" i="3"/>
  <c r="I15" i="3"/>
  <c r="I14" i="3"/>
  <c r="I13" i="3"/>
  <c r="I12" i="3"/>
  <c r="I11" i="3"/>
  <c r="I10" i="3"/>
  <c r="I9" i="3"/>
  <c r="I8" i="3"/>
  <c r="I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4" authorId="0" shapeId="0" xr:uid="{D2919D6A-00FF-4505-89B7-63BAEDFFAC4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that’s the start of it 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CCEBE8-9D57-47EE-8D62-F56ED26C2791}" keepAlive="1" name="Query - Table13" description="Connection to the 'Table13' query in the workbook." type="5" refreshedVersion="6" background="1" saveData="1">
    <dbPr connection="Provider=Microsoft.Mashup.OleDb.1;Data Source=$Workbook$;Location=Table13;Extended Properties=&quot;&quot;" command="SELECT * FROM [Table13]"/>
  </connection>
  <connection id="2" xr16:uid="{2FD6165C-A385-4833-AD49-E563B0E1DF4A}" keepAlive="1" name="Query - Table5" description="Connection to the 'Table5' query in the workbook." type="5" refreshedVersion="6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<sst xmlns="http://schemas.openxmlformats.org/spreadsheetml/2006/main" count="597" uniqueCount="236">
  <si>
    <t>Name</t>
  </si>
  <si>
    <t>Date</t>
  </si>
  <si>
    <t>Salary</t>
  </si>
  <si>
    <t>martha</t>
  </si>
  <si>
    <t>Jamil</t>
  </si>
  <si>
    <t>John</t>
  </si>
  <si>
    <t>Wilson</t>
  </si>
  <si>
    <t>13/12/1998</t>
  </si>
  <si>
    <t>17/12/2005</t>
  </si>
  <si>
    <t>CONDITIONAL FORMATTING</t>
  </si>
  <si>
    <t>DATA VALIDATION</t>
  </si>
  <si>
    <t>Column7</t>
  </si>
  <si>
    <t>Column8</t>
  </si>
  <si>
    <t>Column9</t>
  </si>
  <si>
    <t>DATE</t>
  </si>
  <si>
    <t>TEXT LENGTH</t>
  </si>
  <si>
    <t>YASIRSANI</t>
  </si>
  <si>
    <t>WHOLE NUNBER</t>
  </si>
  <si>
    <t>TIME</t>
  </si>
  <si>
    <t>DECIMAL</t>
  </si>
  <si>
    <t>Ghana</t>
  </si>
  <si>
    <t>Nigeria</t>
  </si>
  <si>
    <t>Togo</t>
  </si>
  <si>
    <t>Canada</t>
  </si>
  <si>
    <t>LIST</t>
  </si>
  <si>
    <t>TOP/BUTTON RULES</t>
  </si>
  <si>
    <t>Names</t>
  </si>
  <si>
    <t>Membership number</t>
  </si>
  <si>
    <t>Salaries</t>
  </si>
  <si>
    <t>Sales</t>
  </si>
  <si>
    <t>Tax</t>
  </si>
  <si>
    <t xml:space="preserve">Yasir Mohammed </t>
  </si>
  <si>
    <t>Calvin Williamson</t>
  </si>
  <si>
    <t>Openg Nkroma</t>
  </si>
  <si>
    <t>Razik Musa</t>
  </si>
  <si>
    <t>Obed Eden</t>
  </si>
  <si>
    <t>Linda Williamson</t>
  </si>
  <si>
    <t>Benedicta Ankamarh</t>
  </si>
  <si>
    <t>Stephen Ansah</t>
  </si>
  <si>
    <t>Patrick Ansah</t>
  </si>
  <si>
    <t>Juliana Hammond</t>
  </si>
  <si>
    <t>Priscilla Esi</t>
  </si>
  <si>
    <t>Ariana Appiah</t>
  </si>
  <si>
    <t>Adu-Mbreku</t>
  </si>
  <si>
    <t>Items</t>
  </si>
  <si>
    <t>Sugar</t>
  </si>
  <si>
    <t>Milo</t>
  </si>
  <si>
    <t>Cowbell</t>
  </si>
  <si>
    <t>Yorghut</t>
  </si>
  <si>
    <t>Groundnut</t>
  </si>
  <si>
    <t>Biscuit</t>
  </si>
  <si>
    <t>Sardine</t>
  </si>
  <si>
    <t>Pens</t>
  </si>
  <si>
    <t>Pencils</t>
  </si>
  <si>
    <t>Textbooks</t>
  </si>
  <si>
    <t>Touchboard</t>
  </si>
  <si>
    <t xml:space="preserve">Drinks </t>
  </si>
  <si>
    <t>Stocks</t>
  </si>
  <si>
    <t>Flight list</t>
  </si>
  <si>
    <t>Country from</t>
  </si>
  <si>
    <t>Country to</t>
  </si>
  <si>
    <t>Hotel list</t>
  </si>
  <si>
    <t>Days list</t>
  </si>
  <si>
    <t>Departure Date</t>
  </si>
  <si>
    <t xml:space="preserve"> Arrival Date</t>
  </si>
  <si>
    <t>Emirate</t>
  </si>
  <si>
    <t>bristish Airways</t>
  </si>
  <si>
    <t xml:space="preserve">Delta </t>
  </si>
  <si>
    <t>Asky</t>
  </si>
  <si>
    <t>Ghana Airways</t>
  </si>
  <si>
    <t>Benin</t>
  </si>
  <si>
    <t>United kingdom</t>
  </si>
  <si>
    <t>USA</t>
  </si>
  <si>
    <t>UK</t>
  </si>
  <si>
    <t>United Arab Emirate</t>
  </si>
  <si>
    <t>China</t>
  </si>
  <si>
    <t>Movenpick</t>
  </si>
  <si>
    <t xml:space="preserve">Radi </t>
  </si>
  <si>
    <t>Sovetail</t>
  </si>
  <si>
    <t>Richmens</t>
  </si>
  <si>
    <t>Plus 2</t>
  </si>
  <si>
    <t xml:space="preserve">Monday </t>
  </si>
  <si>
    <t>Tuesday</t>
  </si>
  <si>
    <t>Wednesday</t>
  </si>
  <si>
    <t>Thursday</t>
  </si>
  <si>
    <t>Sunday</t>
  </si>
  <si>
    <t>togo</t>
  </si>
  <si>
    <t>LOOKUP FUNCTIONS</t>
  </si>
  <si>
    <t>Acc#</t>
  </si>
  <si>
    <t>F_names</t>
  </si>
  <si>
    <t>L_name</t>
  </si>
  <si>
    <t>Branch</t>
  </si>
  <si>
    <t>C/B</t>
  </si>
  <si>
    <t>Interest</t>
  </si>
  <si>
    <t>Yasir</t>
  </si>
  <si>
    <t>Sani</t>
  </si>
  <si>
    <t>Yaw</t>
  </si>
  <si>
    <t>Kweku</t>
  </si>
  <si>
    <t>Jojo</t>
  </si>
  <si>
    <t>Jeff</t>
  </si>
  <si>
    <t>Mubark</t>
  </si>
  <si>
    <t>Paul</t>
  </si>
  <si>
    <t>Johnson</t>
  </si>
  <si>
    <t>Jonas</t>
  </si>
  <si>
    <t>Ansah</t>
  </si>
  <si>
    <t>Borkor</t>
  </si>
  <si>
    <t>Cato</t>
  </si>
  <si>
    <t>Ananu</t>
  </si>
  <si>
    <t>salim</t>
  </si>
  <si>
    <t>Wills</t>
  </si>
  <si>
    <t>Faith</t>
  </si>
  <si>
    <t>Nkum</t>
  </si>
  <si>
    <t>000765</t>
  </si>
  <si>
    <t>000766</t>
  </si>
  <si>
    <t>000767</t>
  </si>
  <si>
    <t>000768</t>
  </si>
  <si>
    <t>000769</t>
  </si>
  <si>
    <t>000770</t>
  </si>
  <si>
    <t>000771</t>
  </si>
  <si>
    <t>000772</t>
  </si>
  <si>
    <t>000773</t>
  </si>
  <si>
    <t>kasoa</t>
  </si>
  <si>
    <t>kumasi</t>
  </si>
  <si>
    <t>weija</t>
  </si>
  <si>
    <t>Adabraka</t>
  </si>
  <si>
    <t>Tema</t>
  </si>
  <si>
    <t>Osu</t>
  </si>
  <si>
    <t>Madina</t>
  </si>
  <si>
    <t>Spintex</t>
  </si>
  <si>
    <t>Nima</t>
  </si>
  <si>
    <t>LOOKUP TABLE</t>
  </si>
  <si>
    <t xml:space="preserve">conditional statement are statement based on clearly defined  cratirial, and a value is returned if that cratiral is true or false </t>
  </si>
  <si>
    <t>ACC STATUS</t>
  </si>
  <si>
    <t>ACC# STATUS</t>
  </si>
  <si>
    <t>YASIR</t>
  </si>
  <si>
    <t xml:space="preserve">000765 </t>
  </si>
  <si>
    <t>000774</t>
  </si>
  <si>
    <t>suzzy</t>
  </si>
  <si>
    <t>Dansoman</t>
  </si>
  <si>
    <t>000775</t>
  </si>
  <si>
    <t>Dennis</t>
  </si>
  <si>
    <t>Abbam</t>
  </si>
  <si>
    <t>000776</t>
  </si>
  <si>
    <t>Richmond</t>
  </si>
  <si>
    <t>Owusu</t>
  </si>
  <si>
    <t>000777</t>
  </si>
  <si>
    <t>Randy</t>
  </si>
  <si>
    <t>Alhaji</t>
  </si>
  <si>
    <t>Fosu</t>
  </si>
  <si>
    <t>000778</t>
  </si>
  <si>
    <t xml:space="preserve">Bismark </t>
  </si>
  <si>
    <t>Entise</t>
  </si>
  <si>
    <t>000779</t>
  </si>
  <si>
    <t>Benjamin</t>
  </si>
  <si>
    <t>Bonney</t>
  </si>
  <si>
    <t>Amasaman</t>
  </si>
  <si>
    <t>000780</t>
  </si>
  <si>
    <t>Desmond</t>
  </si>
  <si>
    <t>Yankah</t>
  </si>
  <si>
    <t>000781</t>
  </si>
  <si>
    <t>Mick</t>
  </si>
  <si>
    <t>Benson</t>
  </si>
  <si>
    <t>William street</t>
  </si>
  <si>
    <t>000782</t>
  </si>
  <si>
    <t>Emmanual</t>
  </si>
  <si>
    <t>Okine</t>
  </si>
  <si>
    <t>Ababraka</t>
  </si>
  <si>
    <t>000783</t>
  </si>
  <si>
    <t>Okin</t>
  </si>
  <si>
    <t>Ailo</t>
  </si>
  <si>
    <t>Lagos</t>
  </si>
  <si>
    <t>000784</t>
  </si>
  <si>
    <t>Augustus</t>
  </si>
  <si>
    <t>Bintu</t>
  </si>
  <si>
    <t>Ayoshi</t>
  </si>
  <si>
    <t>000785</t>
  </si>
  <si>
    <t>Ohemaa</t>
  </si>
  <si>
    <t>Mercy</t>
  </si>
  <si>
    <t>Mallam</t>
  </si>
  <si>
    <t>000786</t>
  </si>
  <si>
    <t>Christy</t>
  </si>
  <si>
    <t>Yeboah</t>
  </si>
  <si>
    <t>GRA</t>
  </si>
  <si>
    <t>000787</t>
  </si>
  <si>
    <t>Delcy</t>
  </si>
  <si>
    <t>Musa</t>
  </si>
  <si>
    <t>Accra</t>
  </si>
  <si>
    <t>000788</t>
  </si>
  <si>
    <t>Ariana</t>
  </si>
  <si>
    <t>Appiah</t>
  </si>
  <si>
    <t>Winneba</t>
  </si>
  <si>
    <t>Lashibi</t>
  </si>
  <si>
    <t>ACC #</t>
  </si>
  <si>
    <t>VLOOKUP</t>
  </si>
  <si>
    <t>NAME</t>
  </si>
  <si>
    <t>CONTRIBUTION</t>
  </si>
  <si>
    <t>Calvin</t>
  </si>
  <si>
    <t>Benedicta</t>
  </si>
  <si>
    <t>Linda</t>
  </si>
  <si>
    <t>Juliana</t>
  </si>
  <si>
    <t>Priscilla</t>
  </si>
  <si>
    <t>DEPARTURE YEAR</t>
  </si>
  <si>
    <t>MATCH FUNCTION</t>
  </si>
  <si>
    <r>
      <t>ACC</t>
    </r>
    <r>
      <rPr>
        <i/>
        <sz val="11"/>
        <color theme="1"/>
        <rFont val="Calibri"/>
        <family val="2"/>
        <scheme val="minor"/>
      </rPr>
      <t>#</t>
    </r>
  </si>
  <si>
    <t>POSITION NUMBER</t>
  </si>
  <si>
    <t>ACTIVE</t>
  </si>
  <si>
    <t>DORMANT</t>
  </si>
  <si>
    <t>INDEX FUNCTION</t>
  </si>
  <si>
    <t>District</t>
  </si>
  <si>
    <t>LeadTech</t>
  </si>
  <si>
    <t>Service</t>
  </si>
  <si>
    <t>North</t>
  </si>
  <si>
    <t>Khan</t>
  </si>
  <si>
    <t>Assess</t>
  </si>
  <si>
    <t>South</t>
  </si>
  <si>
    <t>Lopez</t>
  </si>
  <si>
    <t>Replace</t>
  </si>
  <si>
    <t>Central</t>
  </si>
  <si>
    <t>Cartier</t>
  </si>
  <si>
    <t>Deliver</t>
  </si>
  <si>
    <t>Northwest</t>
  </si>
  <si>
    <t>Burton</t>
  </si>
  <si>
    <t>Repair</t>
  </si>
  <si>
    <t>West</t>
  </si>
  <si>
    <t>Abass</t>
  </si>
  <si>
    <t>Kassim</t>
  </si>
  <si>
    <t>pa</t>
  </si>
  <si>
    <t>DUKE</t>
  </si>
  <si>
    <t>Abu</t>
  </si>
  <si>
    <t>sa</t>
  </si>
  <si>
    <t>acc#</t>
  </si>
  <si>
    <t xml:space="preserve">Assignment </t>
  </si>
  <si>
    <t>creat a table of ten rows with three col.</t>
  </si>
  <si>
    <t xml:space="preserve">1st col. NAME </t>
  </si>
  <si>
    <t>2nd col.DATE OF BIRTH</t>
  </si>
  <si>
    <t xml:space="preserve">Last col. ADDITION OF 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</si>
</sst>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5" borderId="1" xfId="0" applyFont="1" applyFill="1" applyBorder="1"/>
    <xf numFmtId="0" fontId="0" fillId="0" borderId="1" xfId="0" applyFont="1" applyBorder="1"/>
    <xf numFmtId="0" fontId="0" fillId="0" borderId="0" xfId="0" quotePrefix="1"/>
    <xf numFmtId="0" fontId="5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7" borderId="2" xfId="0" applyFont="1" applyFill="1" applyBorder="1"/>
    <xf numFmtId="0" fontId="6" fillId="7" borderId="3" xfId="0" applyFont="1" applyFill="1" applyBorder="1"/>
    <xf numFmtId="0" fontId="6" fillId="7" borderId="4" xfId="0" applyFont="1" applyFill="1" applyBorder="1"/>
    <xf numFmtId="0" fontId="0" fillId="0" borderId="0" xfId="0" quotePrefix="1" applyAlignment="1">
      <alignment horizontal="center"/>
    </xf>
    <xf numFmtId="0" fontId="0" fillId="0" borderId="0" xfId="0" applyNumberFormat="1" applyAlignment="1">
      <alignment horizontal="center"/>
    </xf>
    <xf numFmtId="6" fontId="0" fillId="0" borderId="0" xfId="0" applyNumberFormat="1"/>
    <xf numFmtId="0" fontId="0" fillId="9" borderId="5" xfId="0" quotePrefix="1" applyFont="1" applyFill="1" applyBorder="1" applyAlignment="1">
      <alignment horizontal="center"/>
    </xf>
    <xf numFmtId="0" fontId="0" fillId="10" borderId="6" xfId="0" applyFont="1" applyFill="1" applyBorder="1"/>
    <xf numFmtId="0" fontId="0" fillId="11" borderId="6" xfId="0" applyFont="1" applyFill="1" applyBorder="1"/>
    <xf numFmtId="0" fontId="0" fillId="12" borderId="6" xfId="0" applyFont="1" applyFill="1" applyBorder="1"/>
    <xf numFmtId="0" fontId="6" fillId="10" borderId="0" xfId="0" applyFont="1" applyFill="1" applyBorder="1" applyAlignment="1">
      <alignment horizontal="left" vertical="top"/>
    </xf>
    <xf numFmtId="0" fontId="6" fillId="11" borderId="0" xfId="0" applyFont="1" applyFill="1" applyBorder="1" applyAlignment="1">
      <alignment horizontal="left" vertical="top"/>
    </xf>
    <xf numFmtId="0" fontId="6" fillId="12" borderId="0" xfId="0" applyFont="1" applyFill="1" applyBorder="1" applyAlignment="1">
      <alignment horizontal="left" vertical="top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44">
    <dxf>
      <numFmt numFmtId="10" formatCode="&quot;$&quot;#,##0_);[Red]\(&quot;$&quot;#,##0\)"/>
    </dxf>
    <dxf>
      <numFmt numFmtId="0" formatCode="General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Table Style 1" pivot="0" count="0" xr9:uid="{C1EEB9A3-3096-4CD3-917D-4ABBEEB9F0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BDB0F39-3F94-4F91-9056-9E7E3B4B960A}" autoFormatId="16" applyNumberFormats="0" applyBorderFormats="0" applyFontFormats="0" applyPatternFormats="0" applyAlignmentFormats="0" applyWidthHeightFormats="0">
  <queryTableRefresh nextId="5">
    <queryTableFields count="4">
      <queryTableField id="1" name="District" tableColumnId="1"/>
      <queryTableField id="2" name="LeadTech" tableColumnId="2"/>
      <queryTableField id="3" name="Service" tableColumnId="3"/>
      <queryTableField id="4" name="F_names" tableColumnId="4"/>
    </queryTableFields>
  </queryTableRefresh>
</queryTable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22985-ECC7-4074-AB90-42876F51C837}" name="Table1" displayName="Table1" ref="A2:C7" totalsRowShown="0">
  <autoFilter ref="A2:C7" xr:uid="{7FC56666-CAEE-449C-999E-60042FE9E2BD}"/>
  <tableColumns count="3">
    <tableColumn id="1" xr3:uid="{CAB07CE4-7FE7-4CA3-9F63-D4EFCBB7E471}" name="Name"/>
    <tableColumn id="2" xr3:uid="{935CFCC9-8DFE-4903-B1A0-D19CF3697C6A}" name="Date" dataDxfId="38"/>
    <tableColumn id="3" xr3:uid="{02C1DA86-4F17-46E2-B2F5-C833F45B548F}" name="Salary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8195FC-9407-4160-BA0A-CA0348E617C5}" name="Table2" displayName="Table2" ref="C5:K6" totalsRowShown="0">
  <autoFilter ref="C5:K6" xr:uid="{5E927410-C9BC-4BEA-B2C5-35A47AD2168D}"/>
  <tableColumns count="9">
    <tableColumn id="1" xr3:uid="{A10B8B90-7FD1-4E2A-AB35-371077BCAC2F}" name="DATE"/>
    <tableColumn id="2" xr3:uid="{10274B6C-BA1A-4FDC-9E4D-02D64C9CA4A2}" name="TEXT LENGTH"/>
    <tableColumn id="3" xr3:uid="{F6FBF557-9B05-4B1E-9B99-1B571D67D8F9}" name="WHOLE NUNBER"/>
    <tableColumn id="4" xr3:uid="{2CCD05A2-7AE9-4353-8E0D-FC6F8A28882D}" name="TIME"/>
    <tableColumn id="5" xr3:uid="{1DA9E89E-A53C-4153-96E4-B2086FE4BC1B}" name="DECIMAL"/>
    <tableColumn id="6" xr3:uid="{66BB3937-BD15-4644-8037-C2342A2B41C5}" name="LIST"/>
    <tableColumn id="7" xr3:uid="{C538AA39-BC8B-4740-9D33-4B2133C28DEA}" name="Column7"/>
    <tableColumn id="8" xr3:uid="{6D213A14-F619-4C27-827E-BAFE47D26835}" name="Column8"/>
    <tableColumn id="9" xr3:uid="{3DA62AC5-700B-410C-A8B2-8D60EA0C3160}" name="Column9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1D69CB-CF1A-4034-A2A3-EB7D9DFBC6A5}" name="Table4" displayName="Table4" ref="A2:G7" totalsRowShown="0">
  <autoFilter ref="A2:G7" xr:uid="{B100C439-4933-49C1-8E25-2884FD9F2735}"/>
  <tableColumns count="7">
    <tableColumn id="1" xr3:uid="{CF0BB37D-1D1B-4911-AAB5-694A1711B603}" name="Flight list"/>
    <tableColumn id="2" xr3:uid="{6E688269-48A2-4D62-80F2-C0E62A6780E7}" name="Country from"/>
    <tableColumn id="3" xr3:uid="{513E5978-BF63-45E0-B058-EE5004BCBA65}" name="Country to"/>
    <tableColumn id="4" xr3:uid="{FBB62453-C74F-4ECC-AB22-EF8D5C5C83C9}" name="Hotel list"/>
    <tableColumn id="5" xr3:uid="{794F99F8-D962-4723-9294-FF337B61236E}" name="Days list"/>
    <tableColumn id="6" xr3:uid="{28BA331B-91CB-45FA-AFEE-068B44126AF4}" name="Departure Date"/>
    <tableColumn id="7" xr3:uid="{6A7ADC86-6B35-453C-B815-BF9D98562E1E}" name=" Arrival Dat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DDBACD-7D0F-4783-95A3-37C7A9D64364}" name="Table3" displayName="Table3" ref="E6:J19" totalsRowShown="0">
  <autoFilter ref="E6:J19" xr:uid="{E6F46703-94E9-4DC3-8A8E-FE46E1615880}"/>
  <tableColumns count="6">
    <tableColumn id="1" xr3:uid="{E0F1D02D-BFA4-4618-A3AF-BD2FFB6F88D7}" name="Names"/>
    <tableColumn id="2" xr3:uid="{493807C3-B5FC-4EDE-AB8D-1F1524F5376B}" name="Membership number"/>
    <tableColumn id="3" xr3:uid="{64A0BA2D-DC17-4A5A-A63C-01B21D7A3650}" name="Sales"/>
    <tableColumn id="4" xr3:uid="{998E87EE-CDAE-4180-B44A-7AD72FBCCEF6}" name="Salaries"/>
    <tableColumn id="5" xr3:uid="{6EED29CE-5A50-459C-BCE5-D2373A492B61}" name="Tax" dataDxfId="27">
      <calculatedColumnFormula>Table3[[#This Row],[Salaries]]/100*10</calculatedColumnFormula>
    </tableColumn>
    <tableColumn id="6" xr3:uid="{BFC85A89-528C-4F36-8FEE-B0F218C76FF0}" name="Items" dataDxfId="26"/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00F6C2-9AA4-4B06-AF3F-9ED7AC10698F}" name="Table5" displayName="Table5" ref="A2:G10" totalsRowShown="0">
  <autoFilter ref="A2:G10" xr:uid="{283BACA1-3307-40BF-80F5-47713908B393}"/>
  <tableColumns count="7">
    <tableColumn id="1" xr3:uid="{AD8FCE2F-E890-4AB9-82AB-98C1374918EC}" name="acc#"/>
    <tableColumn id="2" xr3:uid="{8EB90626-4334-4BEF-9579-7A8EB8DC6C44}" name="F_names"/>
    <tableColumn id="3" xr3:uid="{B0C1F824-8A3F-4D1A-8923-065B19EAD8B1}" name="L_name"/>
    <tableColumn id="4" xr3:uid="{D706873F-843D-41C5-95E3-FF1CD9DF9870}" name="Branch"/>
    <tableColumn id="5" xr3:uid="{E8192DA9-8477-404B-8AF6-F3CE6EF5938C}" name="C/B"/>
    <tableColumn id="6" xr3:uid="{9FAB77F8-FF87-4C01-844B-FA22F185F953}" name="Interest" dataDxfId="25">
      <calculatedColumnFormula>Table5[[#This Row],[C/B]]/100*6%</calculatedColumnFormula>
    </tableColumn>
    <tableColumn id="8" xr3:uid="{BD2F08CE-E962-4735-A5DF-98DF4F7AF3E8}" name="ACC STATUS" dataDxfId="24">
      <calculatedColumnFormula>IF(Table5[[#This Row],[C/B]]&lt;7000,"DORMANT","ACTIVE")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E5ED12-6340-46C8-9489-B86CF6A8A24F}" name="Table6" displayName="Table6" ref="L3:R4" totalsRowShown="0">
  <autoFilter ref="L3:R4" xr:uid="{5642F8A1-B778-442A-A5AE-ACED86759746}"/>
  <tableColumns count="7">
    <tableColumn id="1" xr3:uid="{2316E61C-B515-4209-9B1B-5A4CAB4DFC2C}" name="Acc#"/>
    <tableColumn id="2" xr3:uid="{E7AE72B7-33DB-4210-8187-BC5ECF68F99F}" name="F_names">
      <calculatedColumnFormula>LOOKUP(Table6[Acc'#],A3:B10)</calculatedColumnFormula>
    </tableColumn>
    <tableColumn id="3" xr3:uid="{8045E28C-8D9B-4555-86E9-A9E7E8800491}" name="L_name">
      <calculatedColumnFormula>LOOKUP(Table6[Acc'#],Table5[[acc'#]:[L_name]])</calculatedColumnFormula>
    </tableColumn>
    <tableColumn id="4" xr3:uid="{778DD8FF-2918-46FB-96E7-4407C720AD3A}" name="Branch">
      <calculatedColumnFormula>LOOKUP(Table6[Acc'#],Table5[[acc'#]:[Branch]])</calculatedColumnFormula>
    </tableColumn>
    <tableColumn id="5" xr3:uid="{7EDF9953-4AF6-4E05-8343-B297414B002D}" name="C/B">
      <calculatedColumnFormula>LOOKUP(Table6[Acc'#],Table5[[acc'#]:[C/B]])</calculatedColumnFormula>
    </tableColumn>
    <tableColumn id="6" xr3:uid="{F8E2F954-B689-40DD-B53C-D5EC284A9C0E}" name="Interest">
      <calculatedColumnFormula>LOOKUP(Table6[Acc'#],Table5[[acc'#]:[Interest]])</calculatedColumnFormula>
    </tableColumn>
    <tableColumn id="7" xr3:uid="{CCB5CF44-9C85-4347-9688-129094B46BF9}" name="ACC# STATUS">
      <calculatedColumnFormula>LOOKUP(Table6[Acc'#],Table5[])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9DC606-5711-4F74-8509-7E39AA11A08B}" name="Table512" displayName="Table512" ref="A1:G12" totalsRowShown="0">
  <autoFilter ref="A1:G12" xr:uid="{ABC8F434-EB2E-46DC-9555-EC880C48D800}"/>
  <tableColumns count="7">
    <tableColumn id="1" xr3:uid="{D650C669-9E21-419D-9094-F1A2A6E84E89}" name="YASIR"/>
    <tableColumn id="2" xr3:uid="{A9C85E2E-B2BC-4B85-ABB5-AD3DAA1781CE}" name="F_names"/>
    <tableColumn id="3" xr3:uid="{060DF4B0-40FB-42B6-BF83-BF0D712BFECD}" name="L_name"/>
    <tableColumn id="4" xr3:uid="{A8AF6DA1-8013-45AD-948B-D79C38F6E2F0}" name="Branch"/>
    <tableColumn id="5" xr3:uid="{622B2A73-411D-4F82-82AF-9C6BBEEBF7E4}" name="C/B"/>
    <tableColumn id="6" xr3:uid="{C3B4E9A0-213E-4540-9071-015A68D0CF99}" name="Interest" dataDxfId="23">
      <calculatedColumnFormula>Table512[[#This Row],[C/B]]/100*6%</calculatedColumnFormula>
    </tableColumn>
    <tableColumn id="8" xr3:uid="{5F3209FC-7092-44C8-B388-C3036E8B26B6}" name="ACC STATUS" dataDxfId="22">
      <calculatedColumnFormula>IF(Table512[[#This Row],[C/B]]&lt;7000,"DORMANT","ACTIVE")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C1C76E-BA6B-4D1A-A27F-408DE4B4D263}" name="Table13" displayName="Table13" ref="J1:M12" totalsRowShown="0" tableBorderDxfId="21">
  <autoFilter ref="J1:M12" xr:uid="{6AF969A0-21B2-435A-86D4-0686E4C1A1B0}"/>
  <tableColumns count="4">
    <tableColumn id="1" xr3:uid="{DEA0452A-3A55-4AE6-92BB-B9752BB33C45}" name="District" dataDxfId="20"/>
    <tableColumn id="2" xr3:uid="{65972706-22E1-4D28-B8E9-8A4977B9E759}" name="LeadTech" dataDxfId="19"/>
    <tableColumn id="3" xr3:uid="{4726BDC0-2283-41A6-A582-10EF800247DC}" name="Service" dataDxfId="18"/>
    <tableColumn id="4" xr3:uid="{52CC6326-0B98-47E8-8885-BB5E86157B7A}" name="F_names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E58AD24-EFE0-4F91-90CF-DA298D89696E}" name="Table13_2" displayName="Table13_2" ref="A1:D12" tableType="queryTable" totalsRowShown="0">
  <autoFilter ref="A1:D12" xr:uid="{0E941941-5D03-49AF-8123-CAE568AC25F7}"/>
  <tableColumns count="4">
    <tableColumn id="1" xr3:uid="{7538211F-F54F-4828-AA0A-01B6D1A331BC}" uniqueName="1" name="District" queryTableFieldId="1" dataDxfId="17"/>
    <tableColumn id="2" xr3:uid="{8BCDD07F-ABD0-415C-9CD8-7FE9BC7BC3C2}" uniqueName="2" name="LeadTech" queryTableFieldId="2" dataDxfId="16"/>
    <tableColumn id="3" xr3:uid="{AAA1D415-7D9C-4CE5-844A-AE80D9766079}" uniqueName="3" name="Service" queryTableFieldId="3" dataDxfId="15"/>
    <tableColumn id="4" xr3:uid="{CC19F723-9238-44CF-B0E3-5030E36BDCFE}" uniqueName="4" name="F_names" queryTableFieldId="4" dataDxf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AB71F-195F-4F58-A7BB-D29E6A2F7B24}" name="Table59" displayName="Table59" ref="A3:G27" totalsRowShown="0" dataDxfId="13">
  <autoFilter ref="A3:G27" xr:uid="{3E6D08DB-FB06-419F-9281-EA0FB727550B}"/>
  <tableColumns count="7">
    <tableColumn id="1" xr3:uid="{8255BB41-263B-4B29-8E6F-272CEAB4E60D}" name="ACC #" dataDxfId="12"/>
    <tableColumn id="2" xr3:uid="{47E1214B-FFF7-4D1B-B50E-B14C10DF665A}" name="F_names" dataDxfId="11"/>
    <tableColumn id="3" xr3:uid="{847A3A67-537D-41E2-9872-186BD6C7477D}" name="L_name" dataDxfId="10"/>
    <tableColumn id="4" xr3:uid="{E5144447-ECF6-49CC-9C66-DA0697486BF7}" name="Branch" dataDxfId="9"/>
    <tableColumn id="5" xr3:uid="{F7464A0D-C33D-405E-883C-D5A1CC94314B}" name="C/B" dataDxfId="8"/>
    <tableColumn id="6" xr3:uid="{6EE76775-B9EA-43A7-BFEF-30F0571BE991}" name="Interest" dataDxfId="7">
      <calculatedColumnFormula>Table59[[#This Row],[C/B]]/100*6%</calculatedColumnFormula>
    </tableColumn>
    <tableColumn id="8" xr3:uid="{60A8DDC2-5F34-4ED7-B631-4E05C2EF1C60}" name="ACC STATUS" dataDxfId="6">
      <calculatedColumnFormula>IF(Table59[[#This Row],[C/B]]&lt;5000,"DORMANT","ACTIVE")</calculatedColumnFormula>
    </tableColumn>
  </tableColumns>
  <tableStyleInfo name="TableStyleMedium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FC2A6B-C9AB-447A-9956-FDECAE9A1D60}" name="Table9" displayName="Table9" ref="K4:L5" totalsRowShown="0">
  <autoFilter ref="K4:L5" xr:uid="{3B7AED71-EF2F-4DBE-BAC4-C9FFB6E77C65}"/>
  <tableColumns count="2">
    <tableColumn id="1" xr3:uid="{67B2C8A0-BDAB-4C3C-8E8A-CAFA25D19FBE}" name="ACC#" dataDxfId="5"/>
    <tableColumn id="2" xr3:uid="{943F793A-8F96-42C1-AD1E-5A244F5B4601}" name="POSITION NUMBER">
      <calculatedColumnFormula>MATCH(A4,Table59[ACC '#],0)</calculatedColumnFormula>
    </tableColumn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B4A82F-800B-4B16-89E5-A0D61CEE3641}" name="Table12" displayName="Table12" ref="J9:P10" totalsRowShown="0" headerRowDxfId="4" headerRowBorderDxfId="3">
  <autoFilter ref="J9:P10" xr:uid="{C09EE1E5-02A3-47D7-8EF2-B18F26B42273}"/>
  <tableColumns count="7">
    <tableColumn id="1" xr3:uid="{BD0C7FAC-C29E-4A84-BB22-87B0AE24F56F}" name="ACC #"/>
    <tableColumn id="2" xr3:uid="{4F1EFA74-E18D-4789-8AD8-EB3ED14AE0A6}" name="F_names">
      <calculatedColumnFormula>HLOOKUP(Table12[ACC '#],B31:Y37,2,FALSE)</calculatedColumnFormula>
    </tableColumn>
    <tableColumn id="3" xr3:uid="{D9E468B1-5F15-4A42-B28F-D7BA0910640B}" name="L_name">
      <calculatedColumnFormula>HLOOKUP(Table12[ACC '#],B31:Y37,3,FALSE)</calculatedColumnFormula>
    </tableColumn>
    <tableColumn id="4" xr3:uid="{DD682611-2387-4811-BB3D-753607CFF23F}" name="Branch"/>
    <tableColumn id="5" xr3:uid="{39099802-6F2E-4C3E-83E9-2B57D322215B}" name="C/B"/>
    <tableColumn id="6" xr3:uid="{09D0FCB9-D6EE-490E-9596-C9499789EDC4}" name="Interest"/>
    <tableColumn id="7" xr3:uid="{1A401167-1394-4C27-8479-704280263F3F}" name="ACC STATUS"/>
  </tableColumns>
  <tableStyleInfo name="TableStyleMedium2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C35447-9B7E-4D00-A1AB-387FE4C0CEFC}" name="Table58" displayName="Table58" ref="A3:G12" totalsRowShown="0">
  <autoFilter ref="A3:G12" xr:uid="{DF6211C2-0537-4F71-B99A-7D950E004A70}"/>
  <tableColumns count="7">
    <tableColumn id="1" xr3:uid="{6182A0F9-C41E-4C77-932B-2B2A09246490}" name="Acc#"/>
    <tableColumn id="2" xr3:uid="{A026A510-F180-40AC-9644-B79AB8AF6BFD}" name="F_names"/>
    <tableColumn id="3" xr3:uid="{D9EF7764-AE38-4229-878E-4F955EDCCAD3}" name="L_name"/>
    <tableColumn id="4" xr3:uid="{C767295F-154A-4C7A-848B-974C6A2F3862}" name="Branch"/>
    <tableColumn id="5" xr3:uid="{4516C8C4-0F95-43F3-A2EC-B72839D98268}" name="C/B"/>
    <tableColumn id="6" xr3:uid="{C919218D-9458-4287-BF20-C153D9B70486}" name="Interest" dataDxfId="2">
      <calculatedColumnFormula>Table58[[#This Row],[C/B]]/100*6%</calculatedColumnFormula>
    </tableColumn>
    <tableColumn id="8" xr3:uid="{531940A8-3D9C-4EDB-9644-DE74BF86006B}" name="ACC# STATUS" dataDxfId="1">
      <calculatedColumnFormula>IF(Table58[[#This Row],[C/B]]&lt;1000,"DORMANT","ACTIVE")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9F708AE-752D-4EEE-B542-41BABF00CCC4}" name="Table10" displayName="Table10" ref="C6:E11" totalsRowShown="0">
  <autoFilter ref="C6:E11" xr:uid="{608F998A-31D5-4F0F-92D7-CD660531932D}"/>
  <tableColumns count="3">
    <tableColumn id="1" xr3:uid="{7D60CD3C-5965-4405-83E8-FF967D624D8C}" name="NAME"/>
    <tableColumn id="2" xr3:uid="{28C62D81-B06A-4712-8A96-ECFB7FB0AE1C}" name="CONTRIBUTION" dataDxfId="0"/>
    <tableColumn id="3" xr3:uid="{0B0B7ADC-D852-4DB9-AB7B-9D6B78824257}" name="DEPARTURE YEAR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736E-0472-4266-8122-9589577548B0}">
  <dimension ref="A1:F7"/>
  <sheetViews>
    <sheetView workbookViewId="0">
      <selection activeCell="A2" sqref="A2:C7"/>
    </sheetView>
  </sheetViews>
  <sheetFormatPr defaultRowHeight="15" x14ac:dyDescent="0.25"/>
  <cols>
    <col min="2" max="2" width="10.7109375" bestFit="1" customWidth="1"/>
  </cols>
  <sheetData>
    <row r="1" spans="1:6" x14ac:dyDescent="0.25">
      <c r="A1" s="22" t="s">
        <v>9</v>
      </c>
      <c r="B1" s="22"/>
      <c r="C1" s="22"/>
      <c r="D1" s="22"/>
      <c r="E1" s="22"/>
      <c r="F1" s="22"/>
    </row>
    <row r="2" spans="1:6" x14ac:dyDescent="0.25">
      <c r="A2" t="s">
        <v>0</v>
      </c>
      <c r="B2" t="s">
        <v>1</v>
      </c>
      <c r="C2" t="s">
        <v>2</v>
      </c>
    </row>
    <row r="3" spans="1:6" x14ac:dyDescent="0.25">
      <c r="A3" t="s">
        <v>3</v>
      </c>
      <c r="B3" s="1">
        <v>44877</v>
      </c>
      <c r="C3">
        <v>1234.2</v>
      </c>
    </row>
    <row r="4" spans="1:6" x14ac:dyDescent="0.25">
      <c r="A4" t="s">
        <v>4</v>
      </c>
      <c r="B4" t="s">
        <v>7</v>
      </c>
      <c r="C4">
        <v>132</v>
      </c>
    </row>
    <row r="5" spans="1:6" x14ac:dyDescent="0.25">
      <c r="A5" t="s">
        <v>5</v>
      </c>
      <c r="B5" t="s">
        <v>8</v>
      </c>
      <c r="C5">
        <v>5243</v>
      </c>
    </row>
    <row r="6" spans="1:6" x14ac:dyDescent="0.25">
      <c r="A6" t="s">
        <v>6</v>
      </c>
      <c r="B6" s="1">
        <v>36591</v>
      </c>
      <c r="C6">
        <v>6254</v>
      </c>
    </row>
    <row r="7" spans="1:6" x14ac:dyDescent="0.25">
      <c r="A7" t="s">
        <v>5</v>
      </c>
      <c r="B7" s="1">
        <v>41030</v>
      </c>
      <c r="C7">
        <v>5332</v>
      </c>
    </row>
  </sheetData>
  <mergeCells count="1">
    <mergeCell ref="A1:F1"/>
  </mergeCells>
  <conditionalFormatting sqref="C2:C7">
    <cfRule type="cellIs" dxfId="43" priority="4" operator="between">
      <formula>100</formula>
      <formula>4000</formula>
    </cfRule>
    <cfRule type="cellIs" dxfId="42" priority="5" operator="lessThan">
      <formula>200</formula>
    </cfRule>
    <cfRule type="cellIs" dxfId="41" priority="6" operator="greaterThan">
      <formula>5300</formula>
    </cfRule>
  </conditionalFormatting>
  <conditionalFormatting sqref="A3:A7">
    <cfRule type="containsText" dxfId="40" priority="3" operator="containsText" text="j">
      <formula>NOT(ISERROR(SEARCH("j",A3)))</formula>
    </cfRule>
  </conditionalFormatting>
  <conditionalFormatting sqref="A2:C7">
    <cfRule type="duplicateValues" dxfId="39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3590-5C5E-4C0B-9337-0724F659B4A6}">
  <dimension ref="A1:N8"/>
  <sheetViews>
    <sheetView workbookViewId="0">
      <selection activeCell="E6" sqref="E6"/>
    </sheetView>
  </sheetViews>
  <sheetFormatPr defaultRowHeight="15" x14ac:dyDescent="0.25"/>
  <cols>
    <col min="3" max="11" width="11" customWidth="1"/>
  </cols>
  <sheetData>
    <row r="1" spans="1:14" x14ac:dyDescent="0.25">
      <c r="A1" s="23" t="s">
        <v>10</v>
      </c>
      <c r="B1" s="23"/>
      <c r="C1" s="23"/>
      <c r="D1" s="23"/>
      <c r="E1" s="23"/>
      <c r="F1" s="23"/>
      <c r="G1" s="23"/>
    </row>
    <row r="5" spans="1:14" x14ac:dyDescent="0.25">
      <c r="C5" t="s">
        <v>14</v>
      </c>
      <c r="D5" t="s">
        <v>15</v>
      </c>
      <c r="E5" t="s">
        <v>17</v>
      </c>
      <c r="F5" t="s">
        <v>18</v>
      </c>
      <c r="G5" t="s">
        <v>19</v>
      </c>
      <c r="H5" t="s">
        <v>24</v>
      </c>
      <c r="I5" t="s">
        <v>11</v>
      </c>
      <c r="J5" t="s">
        <v>12</v>
      </c>
      <c r="K5" t="s">
        <v>13</v>
      </c>
      <c r="N5" t="s">
        <v>20</v>
      </c>
    </row>
    <row r="6" spans="1:14" x14ac:dyDescent="0.25">
      <c r="C6" s="1">
        <v>45027</v>
      </c>
      <c r="D6" t="s">
        <v>16</v>
      </c>
      <c r="H6" t="s">
        <v>23</v>
      </c>
      <c r="N6" t="s">
        <v>21</v>
      </c>
    </row>
    <row r="7" spans="1:14" x14ac:dyDescent="0.25">
      <c r="N7" t="s">
        <v>22</v>
      </c>
    </row>
    <row r="8" spans="1:14" x14ac:dyDescent="0.25">
      <c r="N8" t="s">
        <v>23</v>
      </c>
    </row>
  </sheetData>
  <mergeCells count="1">
    <mergeCell ref="A1:G1"/>
  </mergeCells>
  <dataValidations count="6">
    <dataValidation type="date" allowBlank="1" showInputMessage="1" showErrorMessage="1" sqref="C6 I6:K6" xr:uid="{CD883065-E6E5-4641-B295-1275B3A92BBB}">
      <formula1>45027</formula1>
      <formula2>45034</formula2>
    </dataValidation>
    <dataValidation type="textLength" allowBlank="1" showInputMessage="1" showErrorMessage="1" sqref="D6" xr:uid="{D0E88964-7377-438C-98BA-582F1C0BAC0B}">
      <formula1>5</formula1>
      <formula2>9</formula2>
    </dataValidation>
    <dataValidation type="whole" allowBlank="1" showInputMessage="1" showErrorMessage="1" sqref="E6" xr:uid="{5C41B88B-D4A3-461E-A59A-F9CBA23BD9BC}">
      <formula1>1</formula1>
      <formula2>15</formula2>
    </dataValidation>
    <dataValidation type="time" allowBlank="1" showInputMessage="1" showErrorMessage="1" sqref="F6" xr:uid="{3EC04140-02E8-49A4-8355-A68248B6C198}">
      <formula1>0.375</formula1>
      <formula2>0.5</formula2>
    </dataValidation>
    <dataValidation type="decimal" allowBlank="1" showInputMessage="1" showErrorMessage="1" sqref="G6" xr:uid="{7C069814-C7ED-46A6-9A14-6C309A341897}">
      <formula1>0.1</formula1>
      <formula2>0.5</formula2>
    </dataValidation>
    <dataValidation type="list" allowBlank="1" showInputMessage="1" showErrorMessage="1" sqref="H6" xr:uid="{9E46DC11-D71E-4A24-AD38-C10A6F34B6BB}">
      <formula1>$N$5:$N$8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0D44-1E36-4046-8B40-CA11DEF8591E}">
  <dimension ref="A1:P9"/>
  <sheetViews>
    <sheetView workbookViewId="0">
      <selection activeCell="F3" sqref="F3"/>
    </sheetView>
  </sheetViews>
  <sheetFormatPr defaultRowHeight="15" x14ac:dyDescent="0.25"/>
  <cols>
    <col min="1" max="1" width="16.28515625" customWidth="1"/>
    <col min="2" max="2" width="15.140625" customWidth="1"/>
    <col min="3" max="3" width="18.7109375" customWidth="1"/>
    <col min="4" max="4" width="12.28515625" customWidth="1"/>
    <col min="5" max="5" width="10.42578125" customWidth="1"/>
    <col min="6" max="6" width="16.7109375" customWidth="1"/>
    <col min="7" max="7" width="15.140625" customWidth="1"/>
    <col min="9" max="9" width="15" customWidth="1"/>
    <col min="12" max="12" width="17.28515625" customWidth="1"/>
    <col min="14" max="14" width="18.5703125" customWidth="1"/>
    <col min="16" max="16" width="11.85546875" customWidth="1"/>
  </cols>
  <sheetData>
    <row r="1" spans="1:16" x14ac:dyDescent="0.25">
      <c r="A1" s="24" t="s">
        <v>10</v>
      </c>
      <c r="B1" s="24"/>
      <c r="C1" s="24"/>
      <c r="D1" s="24"/>
      <c r="E1" s="24"/>
      <c r="F1" s="24"/>
      <c r="G1" s="24"/>
    </row>
    <row r="2" spans="1:16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</row>
    <row r="3" spans="1:16" x14ac:dyDescent="0.25">
      <c r="A3" t="s">
        <v>65</v>
      </c>
      <c r="B3" t="s">
        <v>86</v>
      </c>
      <c r="F3" s="1">
        <v>45030</v>
      </c>
      <c r="G3" s="1">
        <v>45046</v>
      </c>
    </row>
    <row r="5" spans="1:16" x14ac:dyDescent="0.25">
      <c r="I5" s="3" t="s">
        <v>65</v>
      </c>
      <c r="J5" t="s">
        <v>81</v>
      </c>
      <c r="L5" t="s">
        <v>20</v>
      </c>
      <c r="N5" t="s">
        <v>74</v>
      </c>
      <c r="P5" t="s">
        <v>76</v>
      </c>
    </row>
    <row r="6" spans="1:16" x14ac:dyDescent="0.25">
      <c r="I6" s="4" t="s">
        <v>66</v>
      </c>
      <c r="J6" t="s">
        <v>82</v>
      </c>
      <c r="L6" t="s">
        <v>21</v>
      </c>
      <c r="N6" t="s">
        <v>73</v>
      </c>
      <c r="P6" t="s">
        <v>77</v>
      </c>
    </row>
    <row r="7" spans="1:16" x14ac:dyDescent="0.25">
      <c r="I7" s="3" t="s">
        <v>67</v>
      </c>
      <c r="J7" t="s">
        <v>83</v>
      </c>
      <c r="L7" t="s">
        <v>22</v>
      </c>
      <c r="N7" t="s">
        <v>72</v>
      </c>
      <c r="P7" t="s">
        <v>78</v>
      </c>
    </row>
    <row r="8" spans="1:16" x14ac:dyDescent="0.25">
      <c r="I8" s="4" t="s">
        <v>68</v>
      </c>
      <c r="J8" t="s">
        <v>84</v>
      </c>
      <c r="L8" t="s">
        <v>70</v>
      </c>
      <c r="N8" t="s">
        <v>23</v>
      </c>
      <c r="P8" t="s">
        <v>79</v>
      </c>
    </row>
    <row r="9" spans="1:16" x14ac:dyDescent="0.25">
      <c r="I9" s="3" t="s">
        <v>69</v>
      </c>
      <c r="J9" t="s">
        <v>85</v>
      </c>
      <c r="L9" t="s">
        <v>71</v>
      </c>
      <c r="N9" t="s">
        <v>75</v>
      </c>
      <c r="P9" t="s">
        <v>80</v>
      </c>
    </row>
  </sheetData>
  <mergeCells count="1">
    <mergeCell ref="A1:G1"/>
  </mergeCells>
  <dataValidations count="7">
    <dataValidation type="list" errorStyle="information" allowBlank="1" showInputMessage="1" showErrorMessage="1" errorTitle="Alert" error="Please select from the list of flight we have here!" sqref="A3" xr:uid="{92086DB1-F3B1-4693-9B7C-69054E2E6133}">
      <formula1>$I$5:$I$9</formula1>
    </dataValidation>
    <dataValidation type="list" errorStyle="information" allowBlank="1" showInputMessage="1" showErrorMessage="1" errorTitle="Alert" error="PLease select from the list of flight we have here!!!" sqref="B3" xr:uid="{53202871-C54A-4869-884D-53814E078E0E}">
      <formula1>$L$5:$L$9</formula1>
    </dataValidation>
    <dataValidation type="list" allowBlank="1" showInputMessage="1" showErrorMessage="1" sqref="C3" xr:uid="{DA232AE2-7A55-4811-BED7-711317BB7F0C}">
      <formula1>$N$5:$N$9</formula1>
    </dataValidation>
    <dataValidation type="list" allowBlank="1" showInputMessage="1" showErrorMessage="1" sqref="D3" xr:uid="{1D278DEC-E9F6-48FF-908D-0304FB655D24}">
      <formula1>$P$5:$P$9</formula1>
    </dataValidation>
    <dataValidation type="list" allowBlank="1" showInputMessage="1" showErrorMessage="1" sqref="E3" xr:uid="{466C2559-B3E7-4DE1-86CA-2C6FB7B36EF5}">
      <formula1>$J$5:$J$9</formula1>
    </dataValidation>
    <dataValidation type="date" allowBlank="1" showInputMessage="1" showErrorMessage="1" promptTitle="info" prompt="enter dare betwwen 4/13/2023 and 4/20/2023" sqref="F3" xr:uid="{69E34F74-800B-421E-A257-DD0F130A0AD3}">
      <formula1>45029</formula1>
      <formula2>45036</formula2>
    </dataValidation>
    <dataValidation type="date" allowBlank="1" showInputMessage="1" showErrorMessage="1" sqref="G3" xr:uid="{3C2F0A3E-E332-415F-AF09-D43E66D2EEFD}">
      <formula1>45045</formula1>
      <formula2>45047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A371-7616-4AFA-93EA-5705CD5D4F9C}">
  <dimension ref="A1:J19"/>
  <sheetViews>
    <sheetView topLeftCell="A16" workbookViewId="0">
      <selection activeCell="E7" sqref="E7:E19"/>
    </sheetView>
  </sheetViews>
  <sheetFormatPr defaultRowHeight="15" x14ac:dyDescent="0.25"/>
  <cols>
    <col min="5" max="5" width="19.5703125" customWidth="1"/>
    <col min="6" max="6" width="21.85546875" customWidth="1"/>
    <col min="8" max="8" width="10" customWidth="1"/>
    <col min="10" max="10" width="13.140625" customWidth="1"/>
  </cols>
  <sheetData>
    <row r="1" spans="1:10" x14ac:dyDescent="0.25">
      <c r="A1" s="25" t="s">
        <v>25</v>
      </c>
      <c r="B1" s="26"/>
      <c r="C1" s="26"/>
      <c r="D1" s="26"/>
      <c r="E1" s="26"/>
      <c r="F1" s="26"/>
      <c r="G1" s="26"/>
      <c r="H1" s="26"/>
    </row>
    <row r="2" spans="1:10" x14ac:dyDescent="0.25">
      <c r="A2" s="26"/>
      <c r="B2" s="26"/>
      <c r="C2" s="26"/>
      <c r="D2" s="26"/>
      <c r="E2" s="26"/>
      <c r="F2" s="26"/>
      <c r="G2" s="26"/>
      <c r="H2" s="26"/>
    </row>
    <row r="6" spans="1:10" x14ac:dyDescent="0.25">
      <c r="E6" t="s">
        <v>26</v>
      </c>
      <c r="F6" t="s">
        <v>27</v>
      </c>
      <c r="G6" t="s">
        <v>29</v>
      </c>
      <c r="H6" t="s">
        <v>28</v>
      </c>
      <c r="I6" t="s">
        <v>30</v>
      </c>
      <c r="J6" t="s">
        <v>44</v>
      </c>
    </row>
    <row r="7" spans="1:10" x14ac:dyDescent="0.25">
      <c r="E7" t="s">
        <v>31</v>
      </c>
      <c r="F7">
        <v>12</v>
      </c>
      <c r="G7">
        <v>1500</v>
      </c>
      <c r="H7">
        <v>211</v>
      </c>
      <c r="I7">
        <f>Table3[[#This Row],[Salaries]]/100*10</f>
        <v>21.099999999999998</v>
      </c>
      <c r="J7" s="2" t="s">
        <v>45</v>
      </c>
    </row>
    <row r="8" spans="1:10" x14ac:dyDescent="0.25">
      <c r="E8" t="s">
        <v>32</v>
      </c>
      <c r="F8">
        <v>4</v>
      </c>
      <c r="G8">
        <v>1400</v>
      </c>
      <c r="H8">
        <v>3123</v>
      </c>
      <c r="I8">
        <f>Table3[[#This Row],[Salaries]]/100*10</f>
        <v>312.3</v>
      </c>
      <c r="J8" s="2" t="s">
        <v>46</v>
      </c>
    </row>
    <row r="9" spans="1:10" x14ac:dyDescent="0.25">
      <c r="E9" t="s">
        <v>33</v>
      </c>
      <c r="F9">
        <v>5</v>
      </c>
      <c r="G9">
        <v>2600</v>
      </c>
      <c r="H9">
        <v>6012</v>
      </c>
      <c r="I9">
        <f>Table3[[#This Row],[Salaries]]/100*10</f>
        <v>601.19999999999993</v>
      </c>
      <c r="J9" s="2" t="s">
        <v>47</v>
      </c>
    </row>
    <row r="10" spans="1:10" x14ac:dyDescent="0.25">
      <c r="E10" t="s">
        <v>34</v>
      </c>
      <c r="F10">
        <v>17</v>
      </c>
      <c r="G10">
        <v>4500</v>
      </c>
      <c r="H10">
        <v>2345</v>
      </c>
      <c r="I10">
        <f>Table3[[#This Row],[Salaries]]/100*10</f>
        <v>234.5</v>
      </c>
      <c r="J10" s="2" t="s">
        <v>48</v>
      </c>
    </row>
    <row r="11" spans="1:10" x14ac:dyDescent="0.25">
      <c r="E11" t="s">
        <v>35</v>
      </c>
      <c r="F11">
        <v>13</v>
      </c>
      <c r="G11">
        <v>2400</v>
      </c>
      <c r="H11">
        <v>6671</v>
      </c>
      <c r="I11">
        <f>Table3[[#This Row],[Salaries]]/100*10</f>
        <v>667.09999999999991</v>
      </c>
      <c r="J11" s="2" t="s">
        <v>49</v>
      </c>
    </row>
    <row r="12" spans="1:10" x14ac:dyDescent="0.25">
      <c r="E12" t="s">
        <v>36</v>
      </c>
      <c r="F12">
        <v>16</v>
      </c>
      <c r="G12">
        <v>1000</v>
      </c>
      <c r="H12">
        <v>3456</v>
      </c>
      <c r="I12">
        <f>Table3[[#This Row],[Salaries]]/100*10</f>
        <v>345.6</v>
      </c>
      <c r="J12" s="2" t="s">
        <v>50</v>
      </c>
    </row>
    <row r="13" spans="1:10" x14ac:dyDescent="0.25">
      <c r="E13" t="s">
        <v>37</v>
      </c>
      <c r="F13">
        <v>19</v>
      </c>
      <c r="G13">
        <v>800</v>
      </c>
      <c r="H13">
        <v>234</v>
      </c>
      <c r="I13">
        <f>Table3[[#This Row],[Salaries]]/100*10</f>
        <v>23.4</v>
      </c>
      <c r="J13" s="2" t="s">
        <v>51</v>
      </c>
    </row>
    <row r="14" spans="1:10" x14ac:dyDescent="0.25">
      <c r="E14" t="s">
        <v>38</v>
      </c>
      <c r="F14">
        <v>22</v>
      </c>
      <c r="G14">
        <v>100</v>
      </c>
      <c r="H14">
        <v>123</v>
      </c>
      <c r="I14">
        <f>Table3[[#This Row],[Salaries]]/100*10</f>
        <v>12.3</v>
      </c>
      <c r="J14" s="2" t="s">
        <v>52</v>
      </c>
    </row>
    <row r="15" spans="1:10" x14ac:dyDescent="0.25">
      <c r="E15" t="s">
        <v>39</v>
      </c>
      <c r="F15">
        <v>10</v>
      </c>
      <c r="G15">
        <v>500</v>
      </c>
      <c r="H15">
        <v>6321</v>
      </c>
      <c r="I15">
        <f>Table3[[#This Row],[Salaries]]/100*10</f>
        <v>632.1</v>
      </c>
      <c r="J15" s="2" t="s">
        <v>53</v>
      </c>
    </row>
    <row r="16" spans="1:10" x14ac:dyDescent="0.25">
      <c r="E16" t="s">
        <v>40</v>
      </c>
      <c r="F16">
        <v>3</v>
      </c>
      <c r="G16">
        <v>700</v>
      </c>
      <c r="H16">
        <v>1234</v>
      </c>
      <c r="I16">
        <f>Table3[[#This Row],[Salaries]]/100*10</f>
        <v>123.4</v>
      </c>
      <c r="J16" s="2" t="s">
        <v>54</v>
      </c>
    </row>
    <row r="17" spans="5:10" x14ac:dyDescent="0.25">
      <c r="E17" t="s">
        <v>41</v>
      </c>
      <c r="F17">
        <v>2</v>
      </c>
      <c r="G17">
        <v>400</v>
      </c>
      <c r="H17">
        <v>3345</v>
      </c>
      <c r="I17">
        <f>Table3[[#This Row],[Salaries]]/100*10</f>
        <v>334.5</v>
      </c>
      <c r="J17" s="2" t="s">
        <v>55</v>
      </c>
    </row>
    <row r="18" spans="5:10" x14ac:dyDescent="0.25">
      <c r="E18" t="s">
        <v>42</v>
      </c>
      <c r="F18">
        <v>1</v>
      </c>
      <c r="G18">
        <v>200</v>
      </c>
      <c r="H18">
        <v>2332</v>
      </c>
      <c r="I18">
        <f>Table3[[#This Row],[Salaries]]/100*10</f>
        <v>233.2</v>
      </c>
      <c r="J18" s="2" t="s">
        <v>56</v>
      </c>
    </row>
    <row r="19" spans="5:10" x14ac:dyDescent="0.25">
      <c r="E19" t="s">
        <v>43</v>
      </c>
      <c r="F19">
        <v>90</v>
      </c>
      <c r="G19">
        <v>1700</v>
      </c>
      <c r="H19">
        <v>1890</v>
      </c>
      <c r="I19">
        <f>Table3[[#This Row],[Salaries]]/100*10</f>
        <v>189</v>
      </c>
      <c r="J19" s="2" t="s">
        <v>57</v>
      </c>
    </row>
  </sheetData>
  <mergeCells count="1">
    <mergeCell ref="A1:H2"/>
  </mergeCells>
  <conditionalFormatting sqref="K6">
    <cfRule type="top10" dxfId="37" priority="13" rank="5"/>
    <cfRule type="top10" dxfId="36" priority="14" rank="10"/>
  </conditionalFormatting>
  <conditionalFormatting sqref="E7">
    <cfRule type="top10" dxfId="35" priority="12" rank="5"/>
  </conditionalFormatting>
  <conditionalFormatting sqref="E7:E19">
    <cfRule type="top10" dxfId="34" priority="11" rank="4"/>
  </conditionalFormatting>
  <conditionalFormatting sqref="F4">
    <cfRule type="top10" priority="10" rank="10"/>
  </conditionalFormatting>
  <conditionalFormatting sqref="F7:F19">
    <cfRule type="top10" dxfId="33" priority="9" rank="7"/>
  </conditionalFormatting>
  <conditionalFormatting sqref="I6:I19">
    <cfRule type="top10" dxfId="32" priority="7" bottom="1" rank="5"/>
    <cfRule type="top10" dxfId="31" priority="8" percent="1" rank="10"/>
  </conditionalFormatting>
  <conditionalFormatting sqref="G7:G18">
    <cfRule type="aboveAverage" dxfId="30" priority="5"/>
    <cfRule type="top10" dxfId="29" priority="6" percent="1" bottom="1" rank="10"/>
  </conditionalFormatting>
  <conditionalFormatting sqref="G7:G19">
    <cfRule type="aboveAverage" dxfId="28" priority="4" aboveAverage="0"/>
  </conditionalFormatting>
  <conditionalFormatting sqref="H7:H1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{8864DED8-5562-4CBE-B72C-6BCC3E10403E}</x14:id>
        </ext>
      </extLst>
    </cfRule>
  </conditionalFormatting>
  <conditionalFormatting sqref="E7:J19">
    <cfRule type="colorScale" priority="1">
      <colorScale>
        <cfvo type="min"/>
        <cfvo type="max"/>
        <color rgb="FF63BE7B"/>
        <color rgb="FFFFEF9C"/>
      </colorScale>
    </cfRule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{4FC7EFEA-0015-404D-8120-D65355450F09}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64DED8-5562-4CBE-B72C-6BCC3E1040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H7:H19</xm:sqref>
        </x14:conditionalFormatting>
        <x14:conditionalFormatting xmlns:xm="http://schemas.microsoft.com/office/excel/2006/main">
          <x14:cfRule type="dataBar" id="{4FC7EFEA-0015-404D-8120-D65355450F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E7:J19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290F-DB45-42EE-AEAF-BB9F1A4561C7}">
  <dimension ref="A1:R11"/>
  <sheetViews>
    <sheetView topLeftCell="A61" zoomScale="89" zoomScaleNormal="89" workbookViewId="0">
      <selection activeCell="G24" sqref="G24"/>
    </sheetView>
  </sheetViews>
  <sheetFormatPr defaultRowHeight="15" x14ac:dyDescent="0.25"/>
  <cols>
    <col min="2" max="2" width="11" customWidth="1"/>
    <col min="3" max="3" width="10" customWidth="1"/>
    <col min="6" max="6" width="10.140625" customWidth="1"/>
    <col min="7" max="7" width="17.28515625" customWidth="1"/>
    <col min="13" max="13" width="11" customWidth="1"/>
    <col min="14" max="14" width="10.85546875" customWidth="1"/>
    <col min="15" max="15" width="9.85546875" customWidth="1"/>
    <col min="16" max="16" width="9.42578125" customWidth="1"/>
    <col min="17" max="17" width="10.140625" customWidth="1"/>
    <col min="18" max="18" width="17.5703125" customWidth="1"/>
    <col min="19" max="19" width="15.85546875" customWidth="1"/>
  </cols>
  <sheetData>
    <row r="1" spans="1:18" x14ac:dyDescent="0.25">
      <c r="A1" s="27" t="s">
        <v>87</v>
      </c>
      <c r="B1" s="27"/>
      <c r="C1" s="27"/>
      <c r="D1" s="27"/>
      <c r="E1" s="27"/>
      <c r="F1" s="27"/>
      <c r="G1" s="27"/>
    </row>
    <row r="2" spans="1:18" x14ac:dyDescent="0.25">
      <c r="A2" t="s">
        <v>230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132</v>
      </c>
      <c r="L2" s="27" t="s">
        <v>130</v>
      </c>
      <c r="M2" s="27"/>
      <c r="N2" s="27"/>
      <c r="O2" s="27"/>
      <c r="P2" s="27"/>
      <c r="Q2" s="27"/>
    </row>
    <row r="3" spans="1:18" x14ac:dyDescent="0.25">
      <c r="A3" s="5" t="s">
        <v>112</v>
      </c>
      <c r="B3" s="5" t="s">
        <v>134</v>
      </c>
      <c r="C3" s="5" t="s">
        <v>95</v>
      </c>
      <c r="D3" t="s">
        <v>121</v>
      </c>
      <c r="E3">
        <v>5000</v>
      </c>
      <c r="F3">
        <f>Table5[[#This Row],[C/B]]/100*6%</f>
        <v>3</v>
      </c>
      <c r="G3" s="5" t="str">
        <f>IF(Table5[[#This Row],[C/B]]&lt;7000,"DORMANT","ACTIVE")</f>
        <v>DORMANT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133</v>
      </c>
    </row>
    <row r="4" spans="1:18" x14ac:dyDescent="0.25">
      <c r="A4" s="5" t="s">
        <v>113</v>
      </c>
      <c r="B4" t="s">
        <v>96</v>
      </c>
      <c r="C4" t="s">
        <v>104</v>
      </c>
      <c r="D4" t="s">
        <v>122</v>
      </c>
      <c r="E4">
        <v>7000</v>
      </c>
      <c r="F4">
        <f>Table5[[#This Row],[C/B]]/100*6%</f>
        <v>4.2</v>
      </c>
      <c r="G4" t="str">
        <f>IF(Table5[[#This Row],[C/B]]&lt;7000,"DORMANT","ACTIVE")</f>
        <v>ACTIVE</v>
      </c>
      <c r="L4" s="5" t="s">
        <v>135</v>
      </c>
      <c r="M4" t="str">
        <f>LOOKUP(Table6[Acc'#],A3:B10)</f>
        <v>YASIR</v>
      </c>
      <c r="N4" t="str">
        <f>LOOKUP(Table6[Acc'#],Table5[[acc'#]:[L_name]])</f>
        <v>Sani</v>
      </c>
      <c r="O4" t="str">
        <f>LOOKUP(Table6[Acc'#],Table5[[acc'#]:[Branch]])</f>
        <v>kasoa</v>
      </c>
      <c r="P4">
        <f>LOOKUP(Table6[Acc'#],Table5[[acc'#]:[C/B]])</f>
        <v>5000</v>
      </c>
      <c r="Q4">
        <f>LOOKUP(Table6[Acc'#],Table5[[acc'#]:[Interest]])</f>
        <v>3</v>
      </c>
      <c r="R4" t="str">
        <f>LOOKUP(Table6[Acc'#],Table5[])</f>
        <v>DORMANT</v>
      </c>
    </row>
    <row r="5" spans="1:18" x14ac:dyDescent="0.25">
      <c r="A5" s="5" t="s">
        <v>114</v>
      </c>
      <c r="B5" t="s">
        <v>97</v>
      </c>
      <c r="C5" t="s">
        <v>105</v>
      </c>
      <c r="D5" t="s">
        <v>123</v>
      </c>
      <c r="E5">
        <v>8000</v>
      </c>
      <c r="F5">
        <f>Table5[[#This Row],[C/B]]/100*6%</f>
        <v>4.8</v>
      </c>
      <c r="G5" t="str">
        <f>IF(Table5[[#This Row],[C/B]]&lt;7000,"DORMANT","ACTIVE")</f>
        <v>ACTIVE</v>
      </c>
    </row>
    <row r="6" spans="1:18" x14ac:dyDescent="0.25">
      <c r="A6" s="5" t="s">
        <v>115</v>
      </c>
      <c r="B6" t="s">
        <v>98</v>
      </c>
      <c r="C6" t="s">
        <v>106</v>
      </c>
      <c r="D6" t="s">
        <v>124</v>
      </c>
      <c r="E6">
        <v>12000</v>
      </c>
      <c r="F6">
        <f>Table5[[#This Row],[C/B]]/100*6%</f>
        <v>7.1999999999999993</v>
      </c>
      <c r="G6" t="str">
        <f>IF(Table5[[#This Row],[C/B]]&lt;7000,"DORMANT","ACTIVE")</f>
        <v>ACTIVE</v>
      </c>
    </row>
    <row r="7" spans="1:18" x14ac:dyDescent="0.25">
      <c r="A7" s="5" t="s">
        <v>116</v>
      </c>
      <c r="B7" t="s">
        <v>99</v>
      </c>
      <c r="C7" t="s">
        <v>107</v>
      </c>
      <c r="D7" t="s">
        <v>125</v>
      </c>
      <c r="E7">
        <v>18000</v>
      </c>
      <c r="F7">
        <f>Table5[[#This Row],[C/B]]/100*6%</f>
        <v>10.799999999999999</v>
      </c>
      <c r="G7" t="str">
        <f>IF(Table5[[#This Row],[C/B]]&lt;7000,"DORMANT","ACTIVE")</f>
        <v>ACTIVE</v>
      </c>
    </row>
    <row r="8" spans="1:18" x14ac:dyDescent="0.25">
      <c r="A8" s="5" t="s">
        <v>117</v>
      </c>
      <c r="B8" t="s">
        <v>100</v>
      </c>
      <c r="C8" t="s">
        <v>108</v>
      </c>
      <c r="D8" t="s">
        <v>126</v>
      </c>
      <c r="E8">
        <v>2300</v>
      </c>
      <c r="F8">
        <f>Table5[[#This Row],[C/B]]/100*6%</f>
        <v>1.38</v>
      </c>
      <c r="G8" t="str">
        <f>IF(Table5[[#This Row],[C/B]]&lt;7000,"DORMANT","ACTIVE")</f>
        <v>DORMANT</v>
      </c>
    </row>
    <row r="9" spans="1:18" x14ac:dyDescent="0.25">
      <c r="A9" s="5" t="s">
        <v>118</v>
      </c>
      <c r="B9" t="s">
        <v>101</v>
      </c>
      <c r="C9" t="s">
        <v>109</v>
      </c>
      <c r="D9" t="s">
        <v>127</v>
      </c>
      <c r="E9">
        <v>6453</v>
      </c>
      <c r="F9">
        <f>Table5[[#This Row],[C/B]]/100*6%</f>
        <v>3.8717999999999999</v>
      </c>
    </row>
    <row r="10" spans="1:18" x14ac:dyDescent="0.25">
      <c r="A10" s="5" t="s">
        <v>119</v>
      </c>
      <c r="B10" t="s">
        <v>102</v>
      </c>
      <c r="C10" t="s">
        <v>110</v>
      </c>
      <c r="D10" t="s">
        <v>129</v>
      </c>
      <c r="E10">
        <v>6000</v>
      </c>
      <c r="F10">
        <f>Table5[[#This Row],[C/B]]/100*6%</f>
        <v>3.5999999999999996</v>
      </c>
      <c r="G10" t="str">
        <f>IF(Table5[[#This Row],[C/B]]&lt;7000,"DORMANT","ACTIVE")</f>
        <v>DORMANT</v>
      </c>
    </row>
    <row r="11" spans="1:18" x14ac:dyDescent="0.25">
      <c r="A11" s="5" t="s">
        <v>120</v>
      </c>
      <c r="B11" t="s">
        <v>103</v>
      </c>
      <c r="C11" t="s">
        <v>111</v>
      </c>
      <c r="D11" t="s">
        <v>128</v>
      </c>
      <c r="E11">
        <v>7400</v>
      </c>
      <c r="F11" t="e">
        <f>Table5[[#This Row],[C/B]]/100*6%</f>
        <v>#VALUE!</v>
      </c>
      <c r="G11" t="e">
        <f>IF(Table5[[#This Row],[C/B]]&lt;7000,"DORMANT","ACTIVE")</f>
        <v>#VALUE!</v>
      </c>
    </row>
  </sheetData>
  <mergeCells count="2">
    <mergeCell ref="A1:G1"/>
    <mergeCell ref="L2:Q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8229-ACDF-4BFD-9199-C786F47552D4}">
  <dimension ref="A1:M12"/>
  <sheetViews>
    <sheetView zoomScale="108" zoomScaleNormal="108" workbookViewId="0">
      <selection activeCell="I16" sqref="I16"/>
    </sheetView>
  </sheetViews>
  <sheetFormatPr defaultRowHeight="15" x14ac:dyDescent="0.25"/>
  <cols>
    <col min="6" max="6" width="10.28515625" bestFit="1" customWidth="1"/>
    <col min="7" max="7" width="14" bestFit="1" customWidth="1"/>
    <col min="11" max="11" width="11.140625" customWidth="1"/>
  </cols>
  <sheetData>
    <row r="1" spans="1:13" x14ac:dyDescent="0.25">
      <c r="A1" s="5" t="s">
        <v>134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132</v>
      </c>
      <c r="J1" s="18" t="s">
        <v>208</v>
      </c>
      <c r="K1" s="19" t="s">
        <v>209</v>
      </c>
      <c r="L1" s="20" t="s">
        <v>210</v>
      </c>
      <c r="M1" t="s">
        <v>89</v>
      </c>
    </row>
    <row r="2" spans="1:13" x14ac:dyDescent="0.25">
      <c r="A2" s="5" t="s">
        <v>112</v>
      </c>
      <c r="C2" s="5" t="s">
        <v>95</v>
      </c>
      <c r="D2" t="s">
        <v>121</v>
      </c>
      <c r="E2">
        <v>5000</v>
      </c>
      <c r="F2">
        <f>Table512[[#This Row],[C/B]]/100*6%</f>
        <v>3</v>
      </c>
      <c r="G2" s="5" t="str">
        <f>IF(Table512[[#This Row],[C/B]]&lt;7000,"DORMANT","ACTIVE")</f>
        <v>DORMANT</v>
      </c>
      <c r="J2" s="15" t="s">
        <v>211</v>
      </c>
      <c r="K2" s="16" t="s">
        <v>212</v>
      </c>
      <c r="L2" s="17" t="s">
        <v>213</v>
      </c>
      <c r="M2" s="5" t="s">
        <v>134</v>
      </c>
    </row>
    <row r="3" spans="1:13" x14ac:dyDescent="0.25">
      <c r="A3" s="5" t="s">
        <v>113</v>
      </c>
      <c r="B3" t="s">
        <v>96</v>
      </c>
      <c r="C3" t="s">
        <v>104</v>
      </c>
      <c r="D3" t="s">
        <v>122</v>
      </c>
      <c r="E3">
        <v>7000</v>
      </c>
      <c r="F3">
        <f>Table512[[#This Row],[C/B]]/100*6%</f>
        <v>4.2</v>
      </c>
      <c r="G3" t="str">
        <f>IF(Table512[[#This Row],[C/B]]&lt;7000,"DORMANT","ACTIVE")</f>
        <v>ACTIVE</v>
      </c>
      <c r="J3" s="15" t="s">
        <v>214</v>
      </c>
      <c r="K3" s="16" t="s">
        <v>215</v>
      </c>
      <c r="L3" s="17" t="s">
        <v>216</v>
      </c>
      <c r="M3" t="s">
        <v>96</v>
      </c>
    </row>
    <row r="4" spans="1:13" x14ac:dyDescent="0.25">
      <c r="A4" s="5" t="s">
        <v>114</v>
      </c>
      <c r="B4" t="s">
        <v>97</v>
      </c>
      <c r="C4" t="s">
        <v>105</v>
      </c>
      <c r="D4" t="s">
        <v>123</v>
      </c>
      <c r="E4">
        <v>8000</v>
      </c>
      <c r="F4">
        <f>Table512[[#This Row],[C/B]]/100*6%</f>
        <v>4.8</v>
      </c>
      <c r="G4" t="str">
        <f>IF(Table512[[#This Row],[C/B]]&lt;7000,"DORMANT","ACTIVE")</f>
        <v>ACTIVE</v>
      </c>
      <c r="J4" s="15" t="s">
        <v>217</v>
      </c>
      <c r="K4" s="16" t="s">
        <v>218</v>
      </c>
      <c r="L4" s="17" t="s">
        <v>219</v>
      </c>
      <c r="M4" t="s">
        <v>97</v>
      </c>
    </row>
    <row r="5" spans="1:13" x14ac:dyDescent="0.25">
      <c r="A5" s="5" t="s">
        <v>115</v>
      </c>
      <c r="B5" t="s">
        <v>98</v>
      </c>
      <c r="C5" t="s">
        <v>106</v>
      </c>
      <c r="D5" t="s">
        <v>124</v>
      </c>
      <c r="E5">
        <v>12000</v>
      </c>
      <c r="F5">
        <f>Table512[[#This Row],[C/B]]/100*6%</f>
        <v>7.1999999999999993</v>
      </c>
      <c r="G5" t="str">
        <f>IF(Table512[[#This Row],[C/B]]&lt;7000,"DORMANT","ACTIVE")</f>
        <v>ACTIVE</v>
      </c>
      <c r="J5" s="15" t="s">
        <v>214</v>
      </c>
      <c r="K5" s="16" t="s">
        <v>215</v>
      </c>
      <c r="L5" s="17" t="s">
        <v>219</v>
      </c>
      <c r="M5" t="s">
        <v>98</v>
      </c>
    </row>
    <row r="6" spans="1:13" x14ac:dyDescent="0.25">
      <c r="A6" s="5" t="s">
        <v>116</v>
      </c>
      <c r="B6" t="s">
        <v>99</v>
      </c>
      <c r="C6" t="s">
        <v>107</v>
      </c>
      <c r="D6" t="s">
        <v>125</v>
      </c>
      <c r="E6">
        <v>18000</v>
      </c>
      <c r="F6">
        <f>Table512[[#This Row],[C/B]]/100*6%</f>
        <v>10.799999999999999</v>
      </c>
      <c r="G6" t="str">
        <f>IF(Table512[[#This Row],[C/B]]&lt;7000,"DORMANT","ACTIVE")</f>
        <v>ACTIVE</v>
      </c>
      <c r="J6" s="15" t="s">
        <v>220</v>
      </c>
      <c r="K6" s="16" t="s">
        <v>218</v>
      </c>
      <c r="L6" s="17" t="s">
        <v>219</v>
      </c>
      <c r="M6" t="s">
        <v>99</v>
      </c>
    </row>
    <row r="7" spans="1:13" x14ac:dyDescent="0.25">
      <c r="A7" s="5" t="s">
        <v>117</v>
      </c>
      <c r="B7" t="s">
        <v>100</v>
      </c>
      <c r="C7" t="s">
        <v>108</v>
      </c>
      <c r="D7" t="s">
        <v>126</v>
      </c>
      <c r="E7">
        <v>2300</v>
      </c>
      <c r="F7">
        <f>Table512[[#This Row],[C/B]]/100*6%</f>
        <v>1.38</v>
      </c>
      <c r="G7" t="str">
        <f>IF(Table512[[#This Row],[C/B]]&lt;7000,"DORMANT","ACTIVE")</f>
        <v>DORMANT</v>
      </c>
      <c r="J7" s="15" t="s">
        <v>214</v>
      </c>
      <c r="K7" s="16" t="s">
        <v>215</v>
      </c>
      <c r="L7" s="17" t="s">
        <v>213</v>
      </c>
      <c r="M7" t="s">
        <v>100</v>
      </c>
    </row>
    <row r="8" spans="1:13" x14ac:dyDescent="0.25">
      <c r="A8" s="5" t="s">
        <v>118</v>
      </c>
      <c r="B8" t="s">
        <v>101</v>
      </c>
      <c r="C8" t="s">
        <v>109</v>
      </c>
      <c r="D8" t="s">
        <v>127</v>
      </c>
      <c r="E8">
        <v>6453</v>
      </c>
      <c r="F8">
        <f>Table512[[#This Row],[C/B]]/100*6%</f>
        <v>3.8717999999999999</v>
      </c>
      <c r="G8" t="str">
        <f>IF(Table512[[#This Row],[C/B]]&lt;7000,"DORMANT","ACTIVE")</f>
        <v>DORMANT</v>
      </c>
      <c r="J8" s="15" t="s">
        <v>217</v>
      </c>
      <c r="K8" s="16" t="s">
        <v>218</v>
      </c>
      <c r="L8" s="17" t="s">
        <v>213</v>
      </c>
      <c r="M8" t="s">
        <v>101</v>
      </c>
    </row>
    <row r="9" spans="1:13" x14ac:dyDescent="0.25">
      <c r="A9" s="5" t="s">
        <v>119</v>
      </c>
      <c r="B9" t="s">
        <v>102</v>
      </c>
      <c r="C9" t="s">
        <v>110</v>
      </c>
      <c r="D9" t="s">
        <v>129</v>
      </c>
      <c r="E9">
        <v>6000</v>
      </c>
      <c r="F9">
        <f>Table512[[#This Row],[C/B]]/100*6%</f>
        <v>3.5999999999999996</v>
      </c>
      <c r="G9" t="str">
        <f>IF(Table512[[#This Row],[C/B]]&lt;7000,"DORMANT","ACTIVE")</f>
        <v>DORMANT</v>
      </c>
      <c r="J9" s="15" t="s">
        <v>214</v>
      </c>
      <c r="K9" s="16" t="s">
        <v>215</v>
      </c>
      <c r="L9" s="17" t="s">
        <v>216</v>
      </c>
      <c r="M9" t="s">
        <v>102</v>
      </c>
    </row>
    <row r="10" spans="1:13" x14ac:dyDescent="0.25">
      <c r="A10" s="5" t="s">
        <v>120</v>
      </c>
      <c r="B10" t="s">
        <v>103</v>
      </c>
      <c r="C10" t="s">
        <v>111</v>
      </c>
      <c r="D10" t="s">
        <v>128</v>
      </c>
      <c r="E10">
        <v>7400</v>
      </c>
      <c r="F10">
        <f>Table512[[#This Row],[C/B]]/100*6%</f>
        <v>4.4399999999999995</v>
      </c>
      <c r="G10" t="str">
        <f>IF(Table512[[#This Row],[C/B]]&lt;7000,"DORMANT","ACTIVE")</f>
        <v>ACTIVE</v>
      </c>
      <c r="J10" s="15" t="s">
        <v>220</v>
      </c>
      <c r="K10" s="16" t="s">
        <v>221</v>
      </c>
      <c r="L10" s="17" t="s">
        <v>219</v>
      </c>
      <c r="M10" t="s">
        <v>103</v>
      </c>
    </row>
    <row r="11" spans="1:13" x14ac:dyDescent="0.25">
      <c r="A11" s="5" t="s">
        <v>136</v>
      </c>
      <c r="B11" t="s">
        <v>224</v>
      </c>
      <c r="C11" t="s">
        <v>225</v>
      </c>
      <c r="D11" t="s">
        <v>226</v>
      </c>
      <c r="E11">
        <v>5566</v>
      </c>
      <c r="F11" s="2">
        <f>Table512[[#This Row],[C/B]]/100*6%</f>
        <v>3.3395999999999995</v>
      </c>
      <c r="G11" s="2" t="str">
        <f>IF(Table512[[#This Row],[C/B]]&lt;7000,"DORMANT","ACTIVE")</f>
        <v>DORMANT</v>
      </c>
      <c r="J11" s="15" t="s">
        <v>217</v>
      </c>
      <c r="K11" s="16" t="s">
        <v>212</v>
      </c>
      <c r="L11" s="17" t="s">
        <v>222</v>
      </c>
    </row>
    <row r="12" spans="1:13" x14ac:dyDescent="0.25">
      <c r="A12" s="5" t="s">
        <v>139</v>
      </c>
      <c r="B12" t="s">
        <v>227</v>
      </c>
      <c r="C12" t="s">
        <v>228</v>
      </c>
      <c r="D12" t="s">
        <v>229</v>
      </c>
      <c r="E12">
        <v>4322</v>
      </c>
      <c r="F12" s="2">
        <f>Table512[[#This Row],[C/B]]/100*6%</f>
        <v>2.5931999999999999</v>
      </c>
      <c r="G12" s="2" t="str">
        <f>IF(Table512[[#This Row],[C/B]]&lt;7000,"DORMANT","ACTIVE")</f>
        <v>DORMANT</v>
      </c>
      <c r="J12" s="15" t="s">
        <v>223</v>
      </c>
      <c r="K12" s="16" t="s">
        <v>221</v>
      </c>
      <c r="L12" s="17" t="s">
        <v>216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264A-66BB-4FAB-9162-D3CD77C33556}">
  <dimension ref="B3:J17"/>
  <sheetViews>
    <sheetView workbookViewId="0">
      <selection activeCell="B6" sqref="B6"/>
    </sheetView>
  </sheetViews>
  <sheetFormatPr defaultRowHeight="15" x14ac:dyDescent="0.25"/>
  <cols>
    <col min="2" max="2" width="20.42578125" bestFit="1" customWidth="1"/>
  </cols>
  <sheetData>
    <row r="3" spans="2:9" x14ac:dyDescent="0.25">
      <c r="B3" s="21">
        <f ca="1">TODAY()</f>
        <v>45063</v>
      </c>
      <c r="D3" s="21"/>
    </row>
    <row r="4" spans="2:9" x14ac:dyDescent="0.25">
      <c r="B4" s="1">
        <f ca="1">TODAY()-9</f>
        <v>45054</v>
      </c>
    </row>
    <row r="5" spans="2:9" x14ac:dyDescent="0.25">
      <c r="B5" s="1">
        <f ca="1">TODAY()+9</f>
        <v>45072</v>
      </c>
    </row>
    <row r="6" spans="2:9" x14ac:dyDescent="0.25">
      <c r="B6" s="2">
        <f ca="1">MONTH(TODAY())</f>
        <v>5</v>
      </c>
    </row>
    <row r="7" spans="2:9" x14ac:dyDescent="0.25">
      <c r="B7">
        <f ca="1">MONTH(TODAY())-2</f>
        <v>3</v>
      </c>
    </row>
    <row r="8" spans="2:9" x14ac:dyDescent="0.25">
      <c r="B8">
        <f ca="1">YEAR(TODAY())-2</f>
        <v>2021</v>
      </c>
    </row>
    <row r="12" spans="2:9" x14ac:dyDescent="0.25">
      <c r="B12" t="s">
        <v>231</v>
      </c>
    </row>
    <row r="13" spans="2:9" x14ac:dyDescent="0.25">
      <c r="B13" t="s">
        <v>232</v>
      </c>
    </row>
    <row r="14" spans="2:9" x14ac:dyDescent="0.25">
      <c r="B14" t="s">
        <v>233</v>
      </c>
    </row>
    <row r="15" spans="2:9" x14ac:dyDescent="0.25">
      <c r="B15" t="s">
        <v>234</v>
      </c>
    </row>
    <row r="16" spans="2:9" x14ac:dyDescent="0.25">
      <c r="B16" t="s">
        <v>235</v>
      </c>
      <c r="E16" s="1">
        <f ca="1">TODAY()</f>
        <v>45063</v>
      </c>
      <c r="F16" s="1">
        <f ca="1">E16-1460</f>
        <v>43603</v>
      </c>
      <c r="H16" s="1">
        <f ca="1">TODAY()</f>
        <v>45063</v>
      </c>
      <c r="I16" s="1">
        <f ca="1">H16-1460</f>
        <v>43603</v>
      </c>
    </row>
    <row r="17" spans="10:10" x14ac:dyDescent="0.25">
      <c r="J17" s="1">
        <f ca="1">TODAY()-1460</f>
        <v>43603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95E6-58FF-48B8-89C2-CF155C5D8057}">
  <dimension ref="A1:D12"/>
  <sheetViews>
    <sheetView workbookViewId="0"/>
  </sheetViews>
  <sheetFormatPr defaultRowHeight="15" x14ac:dyDescent="0.25"/>
  <cols>
    <col min="1" max="1" width="10.42578125" bestFit="1" customWidth="1"/>
    <col min="2" max="2" width="11.5703125" bestFit="1" customWidth="1"/>
    <col min="3" max="3" width="9.7109375" bestFit="1" customWidth="1"/>
    <col min="4" max="4" width="11.140625" bestFit="1" customWidth="1"/>
  </cols>
  <sheetData>
    <row r="1" spans="1:4" x14ac:dyDescent="0.25">
      <c r="A1" t="s">
        <v>208</v>
      </c>
      <c r="B1" t="s">
        <v>209</v>
      </c>
      <c r="C1" t="s">
        <v>210</v>
      </c>
      <c r="D1" t="s">
        <v>89</v>
      </c>
    </row>
    <row r="2" spans="1:4" x14ac:dyDescent="0.25">
      <c r="A2" s="2" t="s">
        <v>211</v>
      </c>
      <c r="B2" s="2" t="s">
        <v>212</v>
      </c>
      <c r="C2" s="2" t="s">
        <v>213</v>
      </c>
      <c r="D2" s="2" t="s">
        <v>134</v>
      </c>
    </row>
    <row r="3" spans="1:4" x14ac:dyDescent="0.25">
      <c r="A3" s="2" t="s">
        <v>214</v>
      </c>
      <c r="B3" s="2" t="s">
        <v>215</v>
      </c>
      <c r="C3" s="2" t="s">
        <v>216</v>
      </c>
      <c r="D3" s="2" t="s">
        <v>96</v>
      </c>
    </row>
    <row r="4" spans="1:4" x14ac:dyDescent="0.25">
      <c r="A4" s="2" t="s">
        <v>217</v>
      </c>
      <c r="B4" s="2" t="s">
        <v>218</v>
      </c>
      <c r="C4" s="2" t="s">
        <v>219</v>
      </c>
      <c r="D4" s="2" t="s">
        <v>97</v>
      </c>
    </row>
    <row r="5" spans="1:4" x14ac:dyDescent="0.25">
      <c r="A5" s="2" t="s">
        <v>214</v>
      </c>
      <c r="B5" s="2" t="s">
        <v>215</v>
      </c>
      <c r="C5" s="2" t="s">
        <v>219</v>
      </c>
      <c r="D5" s="2" t="s">
        <v>98</v>
      </c>
    </row>
    <row r="6" spans="1:4" x14ac:dyDescent="0.25">
      <c r="A6" s="2" t="s">
        <v>220</v>
      </c>
      <c r="B6" s="2" t="s">
        <v>218</v>
      </c>
      <c r="C6" s="2" t="s">
        <v>219</v>
      </c>
      <c r="D6" s="2" t="s">
        <v>99</v>
      </c>
    </row>
    <row r="7" spans="1:4" x14ac:dyDescent="0.25">
      <c r="A7" s="2" t="s">
        <v>214</v>
      </c>
      <c r="B7" s="2" t="s">
        <v>215</v>
      </c>
      <c r="C7" s="2" t="s">
        <v>213</v>
      </c>
      <c r="D7" s="2" t="s">
        <v>100</v>
      </c>
    </row>
    <row r="8" spans="1:4" x14ac:dyDescent="0.25">
      <c r="A8" s="2" t="s">
        <v>217</v>
      </c>
      <c r="B8" s="2" t="s">
        <v>218</v>
      </c>
      <c r="C8" s="2" t="s">
        <v>213</v>
      </c>
      <c r="D8" s="2" t="s">
        <v>101</v>
      </c>
    </row>
    <row r="9" spans="1:4" x14ac:dyDescent="0.25">
      <c r="A9" s="2" t="s">
        <v>214</v>
      </c>
      <c r="B9" s="2" t="s">
        <v>215</v>
      </c>
      <c r="C9" s="2" t="s">
        <v>216</v>
      </c>
      <c r="D9" s="2" t="s">
        <v>102</v>
      </c>
    </row>
    <row r="10" spans="1:4" x14ac:dyDescent="0.25">
      <c r="A10" s="2" t="s">
        <v>220</v>
      </c>
      <c r="B10" s="2" t="s">
        <v>221</v>
      </c>
      <c r="C10" s="2" t="s">
        <v>219</v>
      </c>
      <c r="D10" s="2" t="s">
        <v>103</v>
      </c>
    </row>
    <row r="11" spans="1:4" x14ac:dyDescent="0.25">
      <c r="A11" s="2" t="s">
        <v>217</v>
      </c>
      <c r="B11" s="2" t="s">
        <v>212</v>
      </c>
      <c r="C11" s="2" t="s">
        <v>222</v>
      </c>
      <c r="D11" s="2"/>
    </row>
    <row r="12" spans="1:4" x14ac:dyDescent="0.25">
      <c r="A12" s="2" t="s">
        <v>223</v>
      </c>
      <c r="B12" s="2" t="s">
        <v>221</v>
      </c>
      <c r="C12" s="2" t="s">
        <v>216</v>
      </c>
      <c r="D12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7C9E-C7D8-4B5A-B6D5-8BB6413910A8}">
  <dimension ref="A1"/>
  <sheetViews>
    <sheetView workbookViewId="0">
      <selection activeCell="E13" sqref="E13"/>
    </sheetView>
  </sheetViews>
  <sheetFormatPr defaultRowHeight="15" x14ac:dyDescent="0.25"/>
  <cols>
    <col min="1" max="1" width="7.28515625" bestFit="1" customWidth="1"/>
    <col min="2" max="2" width="11.140625" bestFit="1" customWidth="1"/>
    <col min="3" max="3" width="10.140625" bestFit="1" customWidth="1"/>
    <col min="4" max="4" width="9.28515625" bestFit="1" customWidth="1"/>
    <col min="5" max="5" width="6.42578125" bestFit="1" customWidth="1"/>
    <col min="6" max="6" width="10.28515625" bestFit="1" customWidth="1"/>
    <col min="7" max="7" width="14" bestFit="1" customWidth="1"/>
    <col min="8" max="8" width="17.140625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4674-1E02-4368-B1C2-03271E2EE6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46E2-8C10-4FEA-A138-B3F6C74B85ED}">
  <dimension ref="A3:Y37"/>
  <sheetViews>
    <sheetView workbookViewId="0">
      <selection activeCell="B4" sqref="B4:B13"/>
    </sheetView>
  </sheetViews>
  <sheetFormatPr defaultRowHeight="15" x14ac:dyDescent="0.25"/>
  <cols>
    <col min="2" max="2" width="11.140625" bestFit="1" customWidth="1"/>
    <col min="3" max="3" width="10.140625" bestFit="1" customWidth="1"/>
    <col min="4" max="4" width="13.7109375" bestFit="1" customWidth="1"/>
    <col min="6" max="6" width="10.28515625" bestFit="1" customWidth="1"/>
    <col min="7" max="7" width="14" bestFit="1" customWidth="1"/>
    <col min="11" max="11" width="11" customWidth="1"/>
    <col min="12" max="12" width="19.85546875" customWidth="1"/>
    <col min="15" max="15" width="10.140625" customWidth="1"/>
    <col min="16" max="16" width="13.85546875" customWidth="1"/>
  </cols>
  <sheetData>
    <row r="3" spans="1:16" x14ac:dyDescent="0.25">
      <c r="A3" t="s">
        <v>192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132</v>
      </c>
      <c r="K3" s="27" t="s">
        <v>202</v>
      </c>
      <c r="L3" s="27"/>
      <c r="M3" s="27"/>
      <c r="N3" s="27"/>
    </row>
    <row r="4" spans="1:16" x14ac:dyDescent="0.25">
      <c r="A4" s="11" t="s">
        <v>112</v>
      </c>
      <c r="B4" s="11" t="s">
        <v>134</v>
      </c>
      <c r="C4" s="11" t="s">
        <v>95</v>
      </c>
      <c r="D4" s="7" t="s">
        <v>121</v>
      </c>
      <c r="E4" s="7">
        <v>5000</v>
      </c>
      <c r="F4" s="7">
        <f>Table59[[#This Row],[C/B]]/100*6%</f>
        <v>3</v>
      </c>
      <c r="G4" s="11" t="str">
        <f>IF(Table59[[#This Row],[C/B]]&lt;5000,"DORMANT","ACTIVE")</f>
        <v>ACTIVE</v>
      </c>
      <c r="K4" t="s">
        <v>203</v>
      </c>
      <c r="L4" t="s">
        <v>204</v>
      </c>
    </row>
    <row r="5" spans="1:16" x14ac:dyDescent="0.25">
      <c r="A5" s="11" t="s">
        <v>113</v>
      </c>
      <c r="B5" s="7" t="s">
        <v>96</v>
      </c>
      <c r="C5" s="7" t="s">
        <v>104</v>
      </c>
      <c r="D5" s="7" t="s">
        <v>122</v>
      </c>
      <c r="E5" s="7">
        <v>7000</v>
      </c>
      <c r="F5" s="7">
        <f>Table59[[#This Row],[C/B]]/100*6%</f>
        <v>4.2</v>
      </c>
      <c r="G5" s="7" t="str">
        <f>IF(Table59[[#This Row],[C/B]]&lt;5000,"DORMANT","ACTIVE")</f>
        <v>ACTIVE</v>
      </c>
      <c r="K5" s="14" t="s">
        <v>112</v>
      </c>
      <c r="L5">
        <f>MATCH(A4,Table59[ACC '#],0)</f>
        <v>1</v>
      </c>
    </row>
    <row r="6" spans="1:16" x14ac:dyDescent="0.25">
      <c r="A6" s="11" t="s">
        <v>114</v>
      </c>
      <c r="B6" s="7" t="s">
        <v>97</v>
      </c>
      <c r="C6" s="7" t="s">
        <v>105</v>
      </c>
      <c r="D6" s="7" t="s">
        <v>123</v>
      </c>
      <c r="E6" s="7">
        <v>8000</v>
      </c>
      <c r="F6" s="7">
        <f>Table59[[#This Row],[C/B]]/100*6%</f>
        <v>4.8</v>
      </c>
      <c r="G6" s="7" t="str">
        <f>IF(Table59[[#This Row],[C/B]]&lt;5000,"DORMANT","ACTIVE")</f>
        <v>ACTIVE</v>
      </c>
    </row>
    <row r="7" spans="1:16" x14ac:dyDescent="0.25">
      <c r="A7" s="11" t="s">
        <v>115</v>
      </c>
      <c r="B7" s="7" t="s">
        <v>98</v>
      </c>
      <c r="C7" s="7" t="s">
        <v>106</v>
      </c>
      <c r="D7" s="7" t="s">
        <v>124</v>
      </c>
      <c r="E7" s="7">
        <v>12000</v>
      </c>
      <c r="F7" s="7">
        <f>Table59[[#This Row],[C/B]]/100*6%</f>
        <v>7.1999999999999993</v>
      </c>
      <c r="G7" s="7" t="str">
        <f>IF(Table59[[#This Row],[C/B]]&lt;5000,"DORMANT","ACTIVE")</f>
        <v>ACTIVE</v>
      </c>
    </row>
    <row r="8" spans="1:16" x14ac:dyDescent="0.25">
      <c r="A8" s="11" t="s">
        <v>116</v>
      </c>
      <c r="B8" s="7" t="s">
        <v>99</v>
      </c>
      <c r="C8" s="7" t="s">
        <v>107</v>
      </c>
      <c r="D8" s="7" t="s">
        <v>125</v>
      </c>
      <c r="E8" s="7">
        <v>18000</v>
      </c>
      <c r="F8" s="7">
        <f>Table59[[#This Row],[C/B]]/100*6%</f>
        <v>10.799999999999999</v>
      </c>
      <c r="G8" s="7" t="str">
        <f>IF(Table59[[#This Row],[C/B]]&lt;5000,"DORMANT","ACTIVE")</f>
        <v>ACTIVE</v>
      </c>
    </row>
    <row r="9" spans="1:16" ht="15.75" thickBot="1" x14ac:dyDescent="0.3">
      <c r="A9" s="11" t="s">
        <v>117</v>
      </c>
      <c r="B9" s="7" t="s">
        <v>100</v>
      </c>
      <c r="C9" s="7" t="s">
        <v>108</v>
      </c>
      <c r="D9" s="7" t="s">
        <v>126</v>
      </c>
      <c r="E9" s="7">
        <v>2300</v>
      </c>
      <c r="F9" s="7">
        <f>Table59[[#This Row],[C/B]]/100*6%</f>
        <v>1.38</v>
      </c>
      <c r="G9" s="7" t="str">
        <f>IF(Table59[[#This Row],[C/B]]&lt;5000,"DORMANT","ACTIVE")</f>
        <v>DORMANT</v>
      </c>
      <c r="J9" s="8" t="s">
        <v>192</v>
      </c>
      <c r="K9" s="9" t="s">
        <v>89</v>
      </c>
      <c r="L9" s="9" t="s">
        <v>90</v>
      </c>
      <c r="M9" s="9" t="s">
        <v>91</v>
      </c>
      <c r="N9" s="9" t="s">
        <v>92</v>
      </c>
      <c r="O9" s="9" t="s">
        <v>93</v>
      </c>
      <c r="P9" s="10" t="s">
        <v>132</v>
      </c>
    </row>
    <row r="10" spans="1:16" ht="15.75" thickTop="1" x14ac:dyDescent="0.25">
      <c r="A10" s="11" t="s">
        <v>118</v>
      </c>
      <c r="B10" s="7" t="s">
        <v>101</v>
      </c>
      <c r="C10" s="7" t="s">
        <v>109</v>
      </c>
      <c r="D10" s="7" t="s">
        <v>127</v>
      </c>
      <c r="E10" s="7">
        <v>6453</v>
      </c>
      <c r="F10" s="7">
        <f>Table59[[#This Row],[C/B]]/100*6%</f>
        <v>3.8717999999999999</v>
      </c>
      <c r="G10" s="7" t="str">
        <f>IF(Table59[[#This Row],[C/B]]&lt;5000,"DORMANT","ACTIVE")</f>
        <v>ACTIVE</v>
      </c>
      <c r="J10" t="s">
        <v>112</v>
      </c>
      <c r="K10" t="str">
        <f>HLOOKUP(Table12[ACC '#],B31:Y37,2,FALSE)</f>
        <v>YASIR</v>
      </c>
      <c r="L10" t="str">
        <f>HLOOKUP(Table12[ACC '#],B31:Y37,3,FALSE)</f>
        <v>Sani</v>
      </c>
    </row>
    <row r="11" spans="1:16" x14ac:dyDescent="0.25">
      <c r="A11" s="11" t="s">
        <v>119</v>
      </c>
      <c r="B11" s="7" t="s">
        <v>102</v>
      </c>
      <c r="C11" s="7" t="s">
        <v>110</v>
      </c>
      <c r="D11" s="7" t="s">
        <v>129</v>
      </c>
      <c r="E11" s="7">
        <v>6000</v>
      </c>
      <c r="F11" s="7">
        <f>Table59[[#This Row],[C/B]]/100*6%</f>
        <v>3.5999999999999996</v>
      </c>
      <c r="G11" s="7" t="str">
        <f>IF(Table59[[#This Row],[C/B]]&lt;5000,"DORMANT","ACTIVE")</f>
        <v>ACTIVE</v>
      </c>
    </row>
    <row r="12" spans="1:16" x14ac:dyDescent="0.25">
      <c r="A12" s="11" t="s">
        <v>120</v>
      </c>
      <c r="B12" s="7" t="s">
        <v>103</v>
      </c>
      <c r="C12" s="7" t="s">
        <v>111</v>
      </c>
      <c r="D12" s="7" t="s">
        <v>128</v>
      </c>
      <c r="E12" s="7">
        <v>7400</v>
      </c>
      <c r="F12" s="7">
        <f>Table59[[#This Row],[C/B]]/100*6%</f>
        <v>4.4399999999999995</v>
      </c>
      <c r="G12" s="7" t="str">
        <f>IF(Table59[[#This Row],[C/B]]&lt;5000,"DORMANT","ACTIVE")</f>
        <v>ACTIVE</v>
      </c>
    </row>
    <row r="13" spans="1:16" x14ac:dyDescent="0.25">
      <c r="A13" s="11" t="s">
        <v>136</v>
      </c>
      <c r="B13" s="7" t="s">
        <v>137</v>
      </c>
      <c r="C13" s="7" t="s">
        <v>106</v>
      </c>
      <c r="D13" s="7" t="s">
        <v>138</v>
      </c>
      <c r="E13" s="7">
        <v>5785</v>
      </c>
      <c r="F13" s="12">
        <f>Table59[[#This Row],[C/B]]/100*6%</f>
        <v>3.4710000000000001</v>
      </c>
      <c r="G13" s="12" t="str">
        <f>IF(Table59[[#This Row],[C/B]]&lt;5000,"DORMANT","ACTIVE")</f>
        <v>ACTIVE</v>
      </c>
      <c r="K13" s="27" t="s">
        <v>207</v>
      </c>
      <c r="L13" s="27"/>
      <c r="M13" s="27"/>
      <c r="N13" s="27"/>
      <c r="O13" s="27"/>
      <c r="P13" s="27"/>
    </row>
    <row r="14" spans="1:16" x14ac:dyDescent="0.25">
      <c r="A14" s="11" t="s">
        <v>139</v>
      </c>
      <c r="B14" s="7" t="s">
        <v>140</v>
      </c>
      <c r="C14" s="7" t="s">
        <v>141</v>
      </c>
      <c r="D14" s="7" t="s">
        <v>126</v>
      </c>
      <c r="E14" s="7">
        <v>4598</v>
      </c>
      <c r="F14" s="12">
        <f>Table59[[#This Row],[C/B]]/100*6%</f>
        <v>2.7587999999999999</v>
      </c>
      <c r="G14" s="12" t="str">
        <f>IF(Table59[[#This Row],[C/B]]&lt;5000,"DORMANT","ACTIVE")</f>
        <v>DORMANT</v>
      </c>
      <c r="K14" s="27"/>
      <c r="L14" s="27"/>
      <c r="M14" s="27"/>
      <c r="N14" s="27"/>
      <c r="O14" s="27"/>
      <c r="P14" s="27"/>
    </row>
    <row r="15" spans="1:16" x14ac:dyDescent="0.25">
      <c r="A15" s="11" t="s">
        <v>142</v>
      </c>
      <c r="B15" s="7" t="s">
        <v>143</v>
      </c>
      <c r="C15" s="7" t="s">
        <v>144</v>
      </c>
      <c r="D15" s="7" t="s">
        <v>123</v>
      </c>
      <c r="E15" s="7">
        <v>6467</v>
      </c>
      <c r="F15" s="12">
        <f>Table59[[#This Row],[C/B]]/100*6%</f>
        <v>3.8801999999999999</v>
      </c>
      <c r="G15" s="12" t="str">
        <f>IF(Table59[[#This Row],[C/B]]&lt;5000,"DORMANT","ACTIVE")</f>
        <v>ACTIVE</v>
      </c>
      <c r="K15">
        <f>INDEX(A4:G27,5,5)</f>
        <v>18000</v>
      </c>
    </row>
    <row r="16" spans="1:16" x14ac:dyDescent="0.25">
      <c r="A16" s="11" t="s">
        <v>145</v>
      </c>
      <c r="B16" s="7" t="s">
        <v>146</v>
      </c>
      <c r="C16" s="7" t="s">
        <v>147</v>
      </c>
      <c r="D16" s="7" t="s">
        <v>148</v>
      </c>
      <c r="E16" s="7">
        <v>4575</v>
      </c>
      <c r="F16" s="12">
        <f>Table59[[#This Row],[C/B]]/100*6%</f>
        <v>2.7450000000000001</v>
      </c>
      <c r="G16" s="12" t="str">
        <f>IF(Table59[[#This Row],[C/B]]&lt;5000,"DORMANT","ACTIVE")</f>
        <v>DORMANT</v>
      </c>
    </row>
    <row r="17" spans="1:25" x14ac:dyDescent="0.25">
      <c r="A17" s="11" t="s">
        <v>149</v>
      </c>
      <c r="B17" s="7" t="s">
        <v>150</v>
      </c>
      <c r="C17" s="7" t="s">
        <v>151</v>
      </c>
      <c r="D17" s="7" t="s">
        <v>121</v>
      </c>
      <c r="E17" s="7">
        <v>5487</v>
      </c>
      <c r="F17" s="12">
        <f>Table59[[#This Row],[C/B]]/100*6%</f>
        <v>3.2921999999999998</v>
      </c>
      <c r="G17" s="12" t="str">
        <f>IF(Table59[[#This Row],[C/B]]&lt;5000,"DORMANT","ACTIVE")</f>
        <v>ACTIVE</v>
      </c>
    </row>
    <row r="18" spans="1:25" x14ac:dyDescent="0.25">
      <c r="A18" s="11" t="s">
        <v>152</v>
      </c>
      <c r="B18" s="7" t="s">
        <v>153</v>
      </c>
      <c r="C18" s="7" t="s">
        <v>154</v>
      </c>
      <c r="D18" s="7" t="s">
        <v>155</v>
      </c>
      <c r="E18" s="7">
        <v>5955</v>
      </c>
      <c r="F18" s="12">
        <f>Table59[[#This Row],[C/B]]/100*6%</f>
        <v>3.5729999999999995</v>
      </c>
      <c r="G18" s="12" t="str">
        <f>IF(Table59[[#This Row],[C/B]]&lt;5000,"DORMANT","ACTIVE")</f>
        <v>ACTIVE</v>
      </c>
    </row>
    <row r="19" spans="1:25" x14ac:dyDescent="0.25">
      <c r="A19" s="11" t="s">
        <v>156</v>
      </c>
      <c r="B19" s="7" t="s">
        <v>157</v>
      </c>
      <c r="C19" s="7" t="s">
        <v>158</v>
      </c>
      <c r="D19" s="7" t="s">
        <v>190</v>
      </c>
      <c r="E19" s="7">
        <v>56669</v>
      </c>
      <c r="F19" s="12">
        <f>Table59[[#This Row],[C/B]]/100*6%</f>
        <v>34.001400000000004</v>
      </c>
      <c r="G19" s="12" t="str">
        <f>IF(Table59[[#This Row],[C/B]]&lt;5000,"DORMANT","ACTIVE")</f>
        <v>ACTIVE</v>
      </c>
    </row>
    <row r="20" spans="1:25" x14ac:dyDescent="0.25">
      <c r="A20" s="11" t="s">
        <v>159</v>
      </c>
      <c r="B20" s="7" t="s">
        <v>160</v>
      </c>
      <c r="C20" s="7" t="s">
        <v>161</v>
      </c>
      <c r="D20" s="7" t="s">
        <v>162</v>
      </c>
      <c r="E20" s="7">
        <v>6565</v>
      </c>
      <c r="F20" s="12">
        <f>Table59[[#This Row],[C/B]]/100*6%</f>
        <v>3.9390000000000001</v>
      </c>
      <c r="G20" s="12" t="str">
        <f>IF(Table59[[#This Row],[C/B]]&lt;5000,"DORMANT","ACTIVE")</f>
        <v>ACTIVE</v>
      </c>
    </row>
    <row r="21" spans="1:25" x14ac:dyDescent="0.25">
      <c r="A21" s="11" t="s">
        <v>163</v>
      </c>
      <c r="B21" s="7" t="s">
        <v>164</v>
      </c>
      <c r="C21" s="7" t="s">
        <v>165</v>
      </c>
      <c r="D21" s="7" t="s">
        <v>166</v>
      </c>
      <c r="E21" s="7">
        <v>6565</v>
      </c>
      <c r="F21" s="12">
        <f>Table59[[#This Row],[C/B]]/100*6%</f>
        <v>3.9390000000000001</v>
      </c>
      <c r="G21" s="12" t="str">
        <f>IF(Table59[[#This Row],[C/B]]&lt;5000,"DORMANT","ACTIVE")</f>
        <v>ACTIVE</v>
      </c>
    </row>
    <row r="22" spans="1:25" x14ac:dyDescent="0.25">
      <c r="A22" s="11" t="s">
        <v>167</v>
      </c>
      <c r="B22" s="7" t="s">
        <v>168</v>
      </c>
      <c r="C22" s="7" t="s">
        <v>169</v>
      </c>
      <c r="D22" s="7" t="s">
        <v>170</v>
      </c>
      <c r="E22" s="7">
        <v>1225</v>
      </c>
      <c r="F22" s="12">
        <f>Table59[[#This Row],[C/B]]/100*6%</f>
        <v>0.73499999999999999</v>
      </c>
      <c r="G22" s="12" t="str">
        <f>IF(Table59[[#This Row],[C/B]]&lt;5000,"DORMANT","ACTIVE")</f>
        <v>DORMANT</v>
      </c>
    </row>
    <row r="23" spans="1:25" x14ac:dyDescent="0.25">
      <c r="A23" s="11" t="s">
        <v>171</v>
      </c>
      <c r="B23" s="7" t="s">
        <v>172</v>
      </c>
      <c r="C23" s="7" t="s">
        <v>173</v>
      </c>
      <c r="D23" s="7" t="s">
        <v>174</v>
      </c>
      <c r="E23" s="7">
        <v>2587</v>
      </c>
      <c r="F23" s="12">
        <f>Table59[[#This Row],[C/B]]/100*6%</f>
        <v>1.5522</v>
      </c>
      <c r="G23" s="12" t="str">
        <f>IF(Table59[[#This Row],[C/B]]&lt;5000,"DORMANT","ACTIVE")</f>
        <v>DORMANT</v>
      </c>
    </row>
    <row r="24" spans="1:25" x14ac:dyDescent="0.25">
      <c r="A24" s="11" t="s">
        <v>175</v>
      </c>
      <c r="B24" s="7" t="s">
        <v>176</v>
      </c>
      <c r="C24" s="7" t="s">
        <v>177</v>
      </c>
      <c r="D24" s="7" t="s">
        <v>178</v>
      </c>
      <c r="E24" s="7">
        <v>1589</v>
      </c>
      <c r="F24" s="12">
        <f>Table59[[#This Row],[C/B]]/100*6%</f>
        <v>0.95340000000000003</v>
      </c>
      <c r="G24" s="12" t="str">
        <f>IF(Table59[[#This Row],[C/B]]&lt;5000,"DORMANT","ACTIVE")</f>
        <v>DORMANT</v>
      </c>
    </row>
    <row r="25" spans="1:25" x14ac:dyDescent="0.25">
      <c r="A25" s="11" t="s">
        <v>179</v>
      </c>
      <c r="B25" s="7" t="s">
        <v>180</v>
      </c>
      <c r="C25" s="7" t="s">
        <v>181</v>
      </c>
      <c r="D25" s="7" t="s">
        <v>182</v>
      </c>
      <c r="E25" s="7">
        <v>1258</v>
      </c>
      <c r="F25" s="12">
        <f>Table59[[#This Row],[C/B]]/100*6%</f>
        <v>0.75480000000000003</v>
      </c>
      <c r="G25" s="12" t="str">
        <f>IF(Table59[[#This Row],[C/B]]&lt;5000,"DORMANT","ACTIVE")</f>
        <v>DORMANT</v>
      </c>
    </row>
    <row r="26" spans="1:25" x14ac:dyDescent="0.25">
      <c r="A26" s="11" t="s">
        <v>183</v>
      </c>
      <c r="B26" s="7" t="s">
        <v>184</v>
      </c>
      <c r="C26" s="7" t="s">
        <v>185</v>
      </c>
      <c r="D26" s="7" t="s">
        <v>186</v>
      </c>
      <c r="E26" s="7">
        <v>2569</v>
      </c>
      <c r="F26" s="12">
        <f>Table59[[#This Row],[C/B]]/100*6%</f>
        <v>1.5414000000000001</v>
      </c>
      <c r="G26" s="12" t="str">
        <f>IF(Table59[[#This Row],[C/B]]&lt;5000,"DORMANT","ACTIVE")</f>
        <v>DORMANT</v>
      </c>
    </row>
    <row r="27" spans="1:25" x14ac:dyDescent="0.25">
      <c r="A27" s="11" t="s">
        <v>187</v>
      </c>
      <c r="B27" s="7" t="s">
        <v>188</v>
      </c>
      <c r="C27" s="7" t="s">
        <v>189</v>
      </c>
      <c r="D27" s="7" t="s">
        <v>191</v>
      </c>
      <c r="E27" s="7">
        <v>4778</v>
      </c>
      <c r="F27" s="12">
        <f>Table59[[#This Row],[C/B]]/100*6%</f>
        <v>2.8668</v>
      </c>
      <c r="G27" s="12" t="str">
        <f>IF(Table59[[#This Row],[C/B]]&lt;5000,"DORMANT","ACTIVE")</f>
        <v>DORMANT</v>
      </c>
    </row>
    <row r="31" spans="1:25" x14ac:dyDescent="0.25">
      <c r="A31" t="s">
        <v>192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  <c r="I31" t="s">
        <v>119</v>
      </c>
      <c r="J31" t="s">
        <v>120</v>
      </c>
      <c r="K31" t="s">
        <v>136</v>
      </c>
      <c r="L31" t="s">
        <v>139</v>
      </c>
      <c r="M31" t="s">
        <v>142</v>
      </c>
      <c r="N31" t="s">
        <v>145</v>
      </c>
      <c r="O31" t="s">
        <v>149</v>
      </c>
      <c r="P31" t="s">
        <v>152</v>
      </c>
      <c r="Q31" t="s">
        <v>156</v>
      </c>
      <c r="R31" t="s">
        <v>159</v>
      </c>
      <c r="S31" t="s">
        <v>163</v>
      </c>
      <c r="T31" t="s">
        <v>167</v>
      </c>
      <c r="U31" t="s">
        <v>171</v>
      </c>
      <c r="V31" t="s">
        <v>175</v>
      </c>
      <c r="W31" t="s">
        <v>179</v>
      </c>
      <c r="X31" t="s">
        <v>183</v>
      </c>
      <c r="Y31" t="s">
        <v>187</v>
      </c>
    </row>
    <row r="32" spans="1:25" x14ac:dyDescent="0.25">
      <c r="A32" t="s">
        <v>89</v>
      </c>
      <c r="B32" t="s">
        <v>134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137</v>
      </c>
      <c r="L32" t="s">
        <v>140</v>
      </c>
      <c r="M32" t="s">
        <v>143</v>
      </c>
      <c r="N32" t="s">
        <v>146</v>
      </c>
      <c r="O32" t="s">
        <v>150</v>
      </c>
      <c r="P32" t="s">
        <v>153</v>
      </c>
      <c r="Q32" t="s">
        <v>157</v>
      </c>
      <c r="R32" t="s">
        <v>160</v>
      </c>
      <c r="S32" t="s">
        <v>164</v>
      </c>
      <c r="T32" t="s">
        <v>168</v>
      </c>
      <c r="U32" t="s">
        <v>172</v>
      </c>
      <c r="V32" t="s">
        <v>176</v>
      </c>
      <c r="W32" t="s">
        <v>180</v>
      </c>
      <c r="X32" t="s">
        <v>184</v>
      </c>
      <c r="Y32" t="s">
        <v>188</v>
      </c>
    </row>
    <row r="33" spans="1:25" x14ac:dyDescent="0.25">
      <c r="A33" t="s">
        <v>90</v>
      </c>
      <c r="B33" t="s">
        <v>95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106</v>
      </c>
      <c r="L33" t="s">
        <v>141</v>
      </c>
      <c r="M33" t="s">
        <v>144</v>
      </c>
      <c r="N33" t="s">
        <v>147</v>
      </c>
      <c r="O33" t="s">
        <v>151</v>
      </c>
      <c r="P33" t="s">
        <v>154</v>
      </c>
      <c r="Q33" t="s">
        <v>158</v>
      </c>
      <c r="R33" t="s">
        <v>161</v>
      </c>
      <c r="S33" t="s">
        <v>165</v>
      </c>
      <c r="T33" t="s">
        <v>169</v>
      </c>
      <c r="U33" t="s">
        <v>173</v>
      </c>
      <c r="V33" t="s">
        <v>177</v>
      </c>
      <c r="W33" t="s">
        <v>181</v>
      </c>
      <c r="X33" t="s">
        <v>185</v>
      </c>
      <c r="Y33" t="s">
        <v>189</v>
      </c>
    </row>
    <row r="34" spans="1:25" x14ac:dyDescent="0.25">
      <c r="A34" t="s">
        <v>91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129</v>
      </c>
      <c r="J34" t="s">
        <v>128</v>
      </c>
      <c r="K34" t="s">
        <v>138</v>
      </c>
      <c r="L34" t="s">
        <v>126</v>
      </c>
      <c r="M34" t="s">
        <v>123</v>
      </c>
      <c r="N34" t="s">
        <v>148</v>
      </c>
      <c r="O34" t="s">
        <v>121</v>
      </c>
      <c r="P34" t="s">
        <v>155</v>
      </c>
      <c r="Q34" t="s">
        <v>190</v>
      </c>
      <c r="R34" t="s">
        <v>162</v>
      </c>
      <c r="S34" t="s">
        <v>166</v>
      </c>
      <c r="T34" t="s">
        <v>170</v>
      </c>
      <c r="U34" t="s">
        <v>174</v>
      </c>
      <c r="V34" t="s">
        <v>178</v>
      </c>
      <c r="W34" t="s">
        <v>182</v>
      </c>
      <c r="X34" t="s">
        <v>186</v>
      </c>
      <c r="Y34" t="s">
        <v>191</v>
      </c>
    </row>
    <row r="35" spans="1:25" x14ac:dyDescent="0.25">
      <c r="A35" t="s">
        <v>92</v>
      </c>
      <c r="B35">
        <v>5000</v>
      </c>
      <c r="C35">
        <v>7000</v>
      </c>
      <c r="D35">
        <v>8000</v>
      </c>
      <c r="E35">
        <v>12000</v>
      </c>
      <c r="F35">
        <v>18000</v>
      </c>
      <c r="G35">
        <v>2300</v>
      </c>
      <c r="H35">
        <v>6453</v>
      </c>
      <c r="I35">
        <v>6000</v>
      </c>
      <c r="J35">
        <v>7400</v>
      </c>
      <c r="K35">
        <v>5785</v>
      </c>
      <c r="L35">
        <v>4598</v>
      </c>
      <c r="M35">
        <v>6467</v>
      </c>
      <c r="N35">
        <v>4575</v>
      </c>
      <c r="O35">
        <v>5487</v>
      </c>
      <c r="P35">
        <v>5955</v>
      </c>
      <c r="Q35">
        <v>56669</v>
      </c>
      <c r="R35">
        <v>6565</v>
      </c>
      <c r="S35">
        <v>6565</v>
      </c>
      <c r="T35">
        <v>1225</v>
      </c>
      <c r="U35">
        <v>2587</v>
      </c>
      <c r="V35">
        <v>1589</v>
      </c>
      <c r="W35">
        <v>1258</v>
      </c>
      <c r="X35">
        <v>2569</v>
      </c>
      <c r="Y35">
        <v>4778</v>
      </c>
    </row>
    <row r="36" spans="1:25" x14ac:dyDescent="0.25">
      <c r="A36" t="s">
        <v>93</v>
      </c>
      <c r="B36">
        <v>3</v>
      </c>
      <c r="C36">
        <v>4.2</v>
      </c>
      <c r="D36">
        <v>4.8</v>
      </c>
      <c r="E36">
        <v>7.1999999999999993</v>
      </c>
      <c r="F36">
        <v>10.799999999999999</v>
      </c>
      <c r="G36">
        <v>1.38</v>
      </c>
      <c r="H36">
        <v>3.8717999999999999</v>
      </c>
      <c r="I36">
        <v>3.5999999999999996</v>
      </c>
      <c r="J36">
        <v>4.4399999999999995</v>
      </c>
      <c r="K36">
        <v>3.4710000000000001</v>
      </c>
      <c r="L36">
        <v>2.7587999999999999</v>
      </c>
      <c r="M36">
        <v>3.8801999999999999</v>
      </c>
      <c r="N36">
        <v>2.7450000000000001</v>
      </c>
      <c r="O36">
        <v>3.2921999999999998</v>
      </c>
      <c r="P36">
        <v>3.5729999999999995</v>
      </c>
      <c r="Q36">
        <v>34.001400000000004</v>
      </c>
      <c r="R36">
        <v>3.9390000000000001</v>
      </c>
      <c r="S36">
        <v>3.9390000000000001</v>
      </c>
      <c r="T36">
        <v>0.73499999999999999</v>
      </c>
      <c r="U36">
        <v>1.5522</v>
      </c>
      <c r="V36">
        <v>0.95340000000000003</v>
      </c>
      <c r="W36">
        <v>0.75480000000000003</v>
      </c>
      <c r="X36">
        <v>1.5414000000000001</v>
      </c>
      <c r="Y36">
        <v>2.8668</v>
      </c>
    </row>
    <row r="37" spans="1:25" x14ac:dyDescent="0.25">
      <c r="A37" t="s">
        <v>132</v>
      </c>
      <c r="B37" t="s">
        <v>205</v>
      </c>
      <c r="C37" t="s">
        <v>205</v>
      </c>
      <c r="D37" t="s">
        <v>205</v>
      </c>
      <c r="E37" t="s">
        <v>205</v>
      </c>
      <c r="F37" t="s">
        <v>205</v>
      </c>
      <c r="G37" t="s">
        <v>206</v>
      </c>
      <c r="H37" t="s">
        <v>205</v>
      </c>
      <c r="I37" t="s">
        <v>205</v>
      </c>
      <c r="J37" t="s">
        <v>205</v>
      </c>
      <c r="K37" t="s">
        <v>205</v>
      </c>
      <c r="L37" t="s">
        <v>206</v>
      </c>
      <c r="M37" t="s">
        <v>205</v>
      </c>
      <c r="N37" t="s">
        <v>206</v>
      </c>
      <c r="O37" t="s">
        <v>205</v>
      </c>
      <c r="P37" t="s">
        <v>205</v>
      </c>
      <c r="Q37" t="s">
        <v>205</v>
      </c>
      <c r="R37" t="s">
        <v>205</v>
      </c>
      <c r="S37" t="s">
        <v>205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Y37" t="s">
        <v>206</v>
      </c>
    </row>
  </sheetData>
  <mergeCells count="2">
    <mergeCell ref="K3:N3"/>
    <mergeCell ref="K13:P14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C9BB-3FF6-48DC-967E-1D883B3E8A5F}">
  <dimension ref="A1:S12"/>
  <sheetViews>
    <sheetView tabSelected="1" workbookViewId="0">
      <selection activeCell="J12" sqref="J12"/>
    </sheetView>
  </sheetViews>
  <sheetFormatPr defaultRowHeight="15" x14ac:dyDescent="0.25"/>
  <cols>
    <col min="7" max="7" width="13.42578125" customWidth="1"/>
  </cols>
  <sheetData>
    <row r="1" spans="1:19" x14ac:dyDescent="0.25">
      <c r="A1" s="28" t="s">
        <v>131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133</v>
      </c>
    </row>
    <row r="4" spans="1:19" x14ac:dyDescent="0.25">
      <c r="A4" s="5" t="s">
        <v>112</v>
      </c>
      <c r="B4" t="s">
        <v>94</v>
      </c>
      <c r="C4" t="s">
        <v>95</v>
      </c>
      <c r="D4" t="s">
        <v>121</v>
      </c>
      <c r="E4">
        <v>4353</v>
      </c>
      <c r="F4">
        <f>Table58[[#This Row],[C/B]]/100*6%</f>
        <v>2.6118000000000001</v>
      </c>
      <c r="G4" t="str">
        <f>IF(Table58[[#This Row],[C/B]]&lt;1000,"DORMANT","ACTIVE")</f>
        <v>ACTIVE</v>
      </c>
    </row>
    <row r="5" spans="1:19" x14ac:dyDescent="0.25">
      <c r="A5" s="5" t="s">
        <v>113</v>
      </c>
      <c r="B5" t="s">
        <v>96</v>
      </c>
      <c r="C5" t="s">
        <v>104</v>
      </c>
      <c r="D5" t="s">
        <v>122</v>
      </c>
      <c r="E5">
        <v>63355</v>
      </c>
      <c r="F5">
        <f>Table58[[#This Row],[C/B]]/100*6%</f>
        <v>38.012999999999998</v>
      </c>
      <c r="G5" t="str">
        <f>IF(Table58[[#This Row],[C/B]]&lt;1000,"DORMANT","ACTIVE")</f>
        <v>ACTIVE</v>
      </c>
    </row>
    <row r="6" spans="1:19" x14ac:dyDescent="0.25">
      <c r="A6" s="5" t="s">
        <v>114</v>
      </c>
      <c r="B6" t="s">
        <v>97</v>
      </c>
      <c r="C6" t="s">
        <v>105</v>
      </c>
      <c r="D6" t="s">
        <v>123</v>
      </c>
      <c r="E6">
        <v>653</v>
      </c>
      <c r="F6">
        <f>Table58[[#This Row],[C/B]]/100*6%</f>
        <v>0.39179999999999998</v>
      </c>
      <c r="G6" t="str">
        <f>IF(Table58[[#This Row],[C/B]]&lt;1000,"DORMANT","ACTIVE")</f>
        <v>DORMANT</v>
      </c>
    </row>
    <row r="7" spans="1:19" x14ac:dyDescent="0.25">
      <c r="A7" s="5" t="s">
        <v>115</v>
      </c>
      <c r="B7" t="s">
        <v>98</v>
      </c>
      <c r="C7" t="s">
        <v>106</v>
      </c>
      <c r="D7" t="s">
        <v>124</v>
      </c>
      <c r="E7">
        <v>1223</v>
      </c>
      <c r="F7">
        <f>Table58[[#This Row],[C/B]]/100*6%</f>
        <v>0.73380000000000001</v>
      </c>
      <c r="G7" t="str">
        <f>IF(Table58[[#This Row],[C/B]]&lt;1000,"DORMANT","ACTIVE")</f>
        <v>ACTIVE</v>
      </c>
    </row>
    <row r="8" spans="1:19" x14ac:dyDescent="0.25">
      <c r="A8" s="5" t="s">
        <v>116</v>
      </c>
      <c r="B8" t="s">
        <v>99</v>
      </c>
      <c r="C8" t="s">
        <v>107</v>
      </c>
      <c r="D8" t="s">
        <v>125</v>
      </c>
      <c r="E8">
        <v>873</v>
      </c>
      <c r="F8">
        <f>Table58[[#This Row],[C/B]]/100*6%</f>
        <v>0.52380000000000004</v>
      </c>
      <c r="G8" t="str">
        <f>IF(Table58[[#This Row],[C/B]]&lt;1000,"DORMANT","ACTIVE")</f>
        <v>DORMANT</v>
      </c>
    </row>
    <row r="9" spans="1:19" x14ac:dyDescent="0.25">
      <c r="A9" s="5" t="s">
        <v>117</v>
      </c>
      <c r="B9" t="s">
        <v>100</v>
      </c>
      <c r="C9" t="s">
        <v>108</v>
      </c>
      <c r="D9" t="s">
        <v>126</v>
      </c>
      <c r="E9">
        <v>3000</v>
      </c>
      <c r="F9">
        <f>Table58[[#This Row],[C/B]]/100*6%</f>
        <v>1.7999999999999998</v>
      </c>
      <c r="G9" t="str">
        <f>IF(Table58[[#This Row],[C/B]]&lt;1000,"DORMANT","ACTIVE")</f>
        <v>ACTIVE</v>
      </c>
    </row>
    <row r="10" spans="1:19" x14ac:dyDescent="0.25">
      <c r="A10" s="5" t="s">
        <v>118</v>
      </c>
      <c r="B10" t="s">
        <v>101</v>
      </c>
      <c r="C10" t="s">
        <v>109</v>
      </c>
      <c r="D10" t="s">
        <v>127</v>
      </c>
      <c r="E10">
        <v>746</v>
      </c>
      <c r="F10">
        <f>Table58[[#This Row],[C/B]]/100*6%</f>
        <v>0.4476</v>
      </c>
      <c r="G10" t="str">
        <f>IF(Table58[[#This Row],[C/B]]&lt;1000,"DORMANT","ACTIVE")</f>
        <v>DORMANT</v>
      </c>
    </row>
    <row r="11" spans="1:19" x14ac:dyDescent="0.25">
      <c r="A11" s="5" t="s">
        <v>119</v>
      </c>
      <c r="B11" t="s">
        <v>102</v>
      </c>
      <c r="C11" t="s">
        <v>110</v>
      </c>
      <c r="D11" t="s">
        <v>129</v>
      </c>
      <c r="E11">
        <v>3532</v>
      </c>
      <c r="F11">
        <f>Table58[[#This Row],[C/B]]/100*6%</f>
        <v>2.1191999999999998</v>
      </c>
      <c r="G11" t="str">
        <f>IF(Table58[[#This Row],[C/B]]&lt;1000,"DORMANT","ACTIVE")</f>
        <v>ACTIVE</v>
      </c>
    </row>
    <row r="12" spans="1:19" x14ac:dyDescent="0.25">
      <c r="A12" s="5" t="s">
        <v>120</v>
      </c>
      <c r="B12" t="s">
        <v>103</v>
      </c>
      <c r="C12" t="s">
        <v>111</v>
      </c>
      <c r="D12" t="s">
        <v>128</v>
      </c>
      <c r="E12">
        <v>950</v>
      </c>
      <c r="F12">
        <f>Table58[[#This Row],[C/B]]/100*6%</f>
        <v>0.56999999999999995</v>
      </c>
      <c r="G12" t="str">
        <f>IF(Table58[[#This Row],[C/B]]&lt;1000,"DORMANT","ACTIVE")</f>
        <v>DORMANT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C8A-537D-40D4-BDC2-C16A9473A127}">
  <dimension ref="C2:K11"/>
  <sheetViews>
    <sheetView workbookViewId="0">
      <selection activeCell="H7" sqref="H7"/>
    </sheetView>
  </sheetViews>
  <sheetFormatPr defaultRowHeight="15" x14ac:dyDescent="0.25"/>
  <cols>
    <col min="4" max="4" width="16.7109375" customWidth="1"/>
    <col min="5" max="5" width="18.28515625" customWidth="1"/>
    <col min="8" max="8" width="14.7109375" bestFit="1" customWidth="1"/>
    <col min="9" max="9" width="16.28515625" bestFit="1" customWidth="1"/>
  </cols>
  <sheetData>
    <row r="2" spans="3:11" x14ac:dyDescent="0.25">
      <c r="C2" s="29" t="s">
        <v>193</v>
      </c>
      <c r="D2" s="30"/>
      <c r="E2" s="30"/>
      <c r="F2" s="30"/>
      <c r="G2" s="30"/>
      <c r="H2" s="30"/>
      <c r="I2" s="30"/>
      <c r="J2" s="30"/>
      <c r="K2" s="30"/>
    </row>
    <row r="3" spans="3:11" x14ac:dyDescent="0.25">
      <c r="C3" s="30"/>
      <c r="D3" s="30"/>
      <c r="E3" s="30"/>
      <c r="F3" s="30"/>
      <c r="G3" s="30"/>
      <c r="H3" s="30"/>
      <c r="I3" s="30"/>
      <c r="J3" s="30"/>
      <c r="K3" s="30"/>
    </row>
    <row r="6" spans="3:11" x14ac:dyDescent="0.25">
      <c r="C6" t="s">
        <v>194</v>
      </c>
      <c r="D6" t="s">
        <v>195</v>
      </c>
      <c r="E6" t="s">
        <v>201</v>
      </c>
      <c r="G6" t="s">
        <v>194</v>
      </c>
      <c r="H6" t="s">
        <v>195</v>
      </c>
      <c r="I6" t="s">
        <v>201</v>
      </c>
    </row>
    <row r="7" spans="3:11" x14ac:dyDescent="0.25">
      <c r="C7" t="s">
        <v>196</v>
      </c>
      <c r="D7" s="13">
        <v>1000</v>
      </c>
      <c r="E7">
        <v>2023</v>
      </c>
      <c r="G7" t="s">
        <v>196</v>
      </c>
      <c r="H7">
        <f>VLOOKUP(G7,Table10[],2,FALSE)</f>
        <v>1000</v>
      </c>
      <c r="I7">
        <f>VLOOKUP(G7,Table10[],3,FALSE)</f>
        <v>2023</v>
      </c>
    </row>
    <row r="8" spans="3:11" x14ac:dyDescent="0.25">
      <c r="C8" t="s">
        <v>197</v>
      </c>
      <c r="D8" s="13">
        <v>400</v>
      </c>
      <c r="E8">
        <v>2024</v>
      </c>
      <c r="G8" t="s">
        <v>197</v>
      </c>
      <c r="H8">
        <f>VLOOKUP(G8,Table10[],2,FALSE)</f>
        <v>400</v>
      </c>
      <c r="I8">
        <f>VLOOKUP(G8,Table10[],3,FALSE)</f>
        <v>2024</v>
      </c>
    </row>
    <row r="9" spans="3:11" x14ac:dyDescent="0.25">
      <c r="C9" t="s">
        <v>198</v>
      </c>
      <c r="D9" s="13">
        <v>900</v>
      </c>
      <c r="E9">
        <v>2024</v>
      </c>
      <c r="G9" t="s">
        <v>199</v>
      </c>
      <c r="H9">
        <f>VLOOKUP(G9,Table10[],2,FALSE)</f>
        <v>234</v>
      </c>
      <c r="I9">
        <f>VLOOKUP(G9,Table10[],3,FALSE)</f>
        <v>2023</v>
      </c>
    </row>
    <row r="10" spans="3:11" x14ac:dyDescent="0.25">
      <c r="C10" t="s">
        <v>199</v>
      </c>
      <c r="D10" s="13">
        <v>234</v>
      </c>
      <c r="E10">
        <v>2023</v>
      </c>
    </row>
    <row r="11" spans="3:11" x14ac:dyDescent="0.25">
      <c r="C11" t="s">
        <v>200</v>
      </c>
      <c r="D11" s="13">
        <v>800</v>
      </c>
      <c r="E11">
        <v>2023</v>
      </c>
    </row>
  </sheetData>
  <mergeCells count="1">
    <mergeCell ref="C2:K3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A8C81-3EBA-4805-B339-3EF80C5ABA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CONDITIONAL FORMATING</vt:lpstr>
      <vt:lpstr>DATA VALIDATION</vt:lpstr>
      <vt:lpstr>Sheet4</vt:lpstr>
      <vt:lpstr>TOP OR BUTTON RULES</vt:lpstr>
      <vt:lpstr>lookup functions</vt:lpstr>
      <vt:lpstr>table merge</vt:lpstr>
      <vt:lpstr>DATE FUNCTION</vt:lpstr>
      <vt:lpstr>Sheet2</vt:lpstr>
      <vt:lpstr>Sheet1</vt:lpstr>
      <vt:lpstr>wk</vt:lpstr>
      <vt:lpstr>HLOOKUP</vt:lpstr>
      <vt:lpstr>If FUNCTION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2023-04-11T08:46:21Z</dcterms:created>
  <dcterms:modified xsi:type="dcterms:W3CDTF">2023-05-17T21:19:06Z</dcterms:modified>
</cp:coreProperties>
</file>