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effrey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98" i="1" l="1"/>
  <c r="I796" i="1"/>
  <c r="H83" i="1"/>
</calcChain>
</file>

<file path=xl/sharedStrings.xml><?xml version="1.0" encoding="utf-8"?>
<sst xmlns="http://schemas.openxmlformats.org/spreadsheetml/2006/main" count="8003" uniqueCount="1671">
  <si>
    <t>JUN</t>
  </si>
  <si>
    <t>0.0f</t>
  </si>
  <si>
    <t>TUNISIA</t>
  </si>
  <si>
    <t>Haffouz, Tunisia</t>
  </si>
  <si>
    <t>MAURITIUS- REUNION REGION</t>
  </si>
  <si>
    <t>Near Madagascar</t>
  </si>
  <si>
    <t>REPUBLIC OF SOUTH AFRICA</t>
  </si>
  <si>
    <t>Warrenton, South Africa</t>
  </si>
  <si>
    <t>ZAIRE</t>
  </si>
  <si>
    <t>kolwezi,D.R.C</t>
  </si>
  <si>
    <t>NORTHERN ALGERIA</t>
  </si>
  <si>
    <t>El Khabouzia, Algeria</t>
  </si>
  <si>
    <t>Bir Ghabalou, Algeria</t>
  </si>
  <si>
    <t>KENYA</t>
  </si>
  <si>
    <t>Muranga'a, Kenya</t>
  </si>
  <si>
    <t>NORTHWEST AFRICA</t>
  </si>
  <si>
    <t>Atar, Mauritania</t>
  </si>
  <si>
    <t>vredendal,South Africa</t>
  </si>
  <si>
    <t>Lakota, Cote d'ivoire</t>
  </si>
  <si>
    <t>Parya, South Africa</t>
  </si>
  <si>
    <t>C0NGO</t>
  </si>
  <si>
    <t>Impfondo, Republic Of The Congo</t>
  </si>
  <si>
    <t>Cofimvaba, South Africa</t>
  </si>
  <si>
    <t>Witbank, South Africa</t>
  </si>
  <si>
    <t>OFF COAST OF SOUTH AFRICA</t>
  </si>
  <si>
    <t>Off South African Coast</t>
  </si>
  <si>
    <t>MOZAMBIQUE</t>
  </si>
  <si>
    <t>Ngouma,MOZAMBIQUE</t>
  </si>
  <si>
    <t>MOROCCO</t>
  </si>
  <si>
    <t>Province de Figuig,MOROCCO</t>
  </si>
  <si>
    <t>Dealesville,South Africa</t>
  </si>
  <si>
    <t>Naboomapruit,South Africa</t>
  </si>
  <si>
    <t>Kathu,South Africa</t>
  </si>
  <si>
    <t>kgalagadi South,Botswanna</t>
  </si>
  <si>
    <t>Koffiefontein,South Africa</t>
  </si>
  <si>
    <t>Katiola,Cote d'Ivoire</t>
  </si>
  <si>
    <t>Hartswater,South Africa</t>
  </si>
  <si>
    <t>Rustenburg Rural, South Africa</t>
  </si>
  <si>
    <t>Eastvaal District Council,South Africa</t>
  </si>
  <si>
    <t>Ellisras,South Africa</t>
  </si>
  <si>
    <t>Lake volta,Ghana</t>
  </si>
  <si>
    <t>Mediterranean sea</t>
  </si>
  <si>
    <t>Baata,Algeria</t>
  </si>
  <si>
    <t>Theunissen,South Africa</t>
  </si>
  <si>
    <t>Keara,Tunisia</t>
  </si>
  <si>
    <t>Mwingi District, Kenya</t>
  </si>
  <si>
    <t>Schweizer-Reneka,South Africa</t>
  </si>
  <si>
    <t>Welkom,South Africa</t>
  </si>
  <si>
    <t>LIBYA</t>
  </si>
  <si>
    <t>Al Wahat, Libya</t>
  </si>
  <si>
    <t>Say, Niger</t>
  </si>
  <si>
    <t>Gulf of Guinea, Near Coast of Cote d'Ivoire</t>
  </si>
  <si>
    <t>Sinfra, Cote d'Ivoire</t>
  </si>
  <si>
    <t>Diamondfields, South Africa</t>
  </si>
  <si>
    <t>LAKE VICTORIA REGION</t>
  </si>
  <si>
    <t>Lake Eyasi, Tanzania</t>
  </si>
  <si>
    <t>Dinguiraye Prefecture,Guinea</t>
  </si>
  <si>
    <t>ETHIOPIA</t>
  </si>
  <si>
    <t>East Hararghe, Ethiopia</t>
  </si>
  <si>
    <t>Mesdour, Algeria</t>
  </si>
  <si>
    <t>Jendouba, Tunisia</t>
  </si>
  <si>
    <t>Phillipstown, South Africa</t>
  </si>
  <si>
    <t>Sebkhet en Noual,  Tunisia</t>
  </si>
  <si>
    <t>ANGOLA</t>
  </si>
  <si>
    <t>Menongue, Angola</t>
  </si>
  <si>
    <t xml:space="preserve">Potchefstroom, South Africa </t>
  </si>
  <si>
    <t>BOTSWANA</t>
  </si>
  <si>
    <t>NG/32 Okavango Kopano Mokoro, Botswana</t>
  </si>
  <si>
    <t>Dealesville, South Africa</t>
  </si>
  <si>
    <t>Bloemfontein, South Africa</t>
  </si>
  <si>
    <t>Mount Ayliff, South Africa</t>
  </si>
  <si>
    <t>Near Coast of Momma, Mozambique</t>
  </si>
  <si>
    <t>EGYPT</t>
  </si>
  <si>
    <t>Qesm Al Wahat Ad Daklah, New Valley Governorate, Egypt</t>
  </si>
  <si>
    <t>Ghardaia Province, Algeria</t>
  </si>
  <si>
    <t>MOZAMBIQUE CHANNEL</t>
  </si>
  <si>
    <t>Near Coast of Madagascar</t>
  </si>
  <si>
    <t>Tamakro, Algeria</t>
  </si>
  <si>
    <t>Rietfontein 336-lq , South Africa</t>
  </si>
  <si>
    <t>Near Coast of Dakar, Senegal</t>
  </si>
  <si>
    <t>Sud- Bandama, Cote d'Ivoire</t>
  </si>
  <si>
    <t>Karimama, Benin</t>
  </si>
  <si>
    <t>ZAMBIA</t>
  </si>
  <si>
    <t>Ngoni Reserve, Zambia</t>
  </si>
  <si>
    <t>Pomfret, South Africa</t>
  </si>
  <si>
    <t>Near Coast of El Dabaa, Egypt</t>
  </si>
  <si>
    <t>Bouake, Cote d'Ivoire</t>
  </si>
  <si>
    <t>Gulf of Guinea, Near Coast of Abidjan, Cote d'Ivoire</t>
  </si>
  <si>
    <t>Issia, Cote d'ivoire</t>
  </si>
  <si>
    <t>Bushbuckridge, South Africa</t>
  </si>
  <si>
    <t>Moamba, Mozambique</t>
  </si>
  <si>
    <t>Murang'a, Kenya</t>
  </si>
  <si>
    <t>Lake Mweru, Zaire</t>
  </si>
  <si>
    <t>Gulf of Tunis, Tunisia</t>
  </si>
  <si>
    <t>Moletji, South Africa</t>
  </si>
  <si>
    <t>Ka-Dizingidzingi,South Africa</t>
  </si>
  <si>
    <t>TANZANIA</t>
  </si>
  <si>
    <t>Singida, Tanzania</t>
  </si>
  <si>
    <t>OFF SOUTH COAST OF NORTHWEST AFRICA</t>
  </si>
  <si>
    <t>Gulf of Guinea near Coast of Nigeria</t>
  </si>
  <si>
    <t xml:space="preserve"> REPUBLIC OF SOUTH AFRICA</t>
  </si>
  <si>
    <t>Kalahari, South Africa</t>
  </si>
  <si>
    <t>Tillaberi, Niger</t>
  </si>
  <si>
    <t>JUL</t>
  </si>
  <si>
    <t>Near Coast of Cape  Coast</t>
  </si>
  <si>
    <t>Taraba, Nigeria</t>
  </si>
  <si>
    <t>Caledon, South Africa</t>
  </si>
  <si>
    <t>Nachingwea, Tanzania</t>
  </si>
  <si>
    <t>Bam, Burkina Faso</t>
  </si>
  <si>
    <t>Gourma, Burkina Faso</t>
  </si>
  <si>
    <t>SOUTHERN ALGERIA</t>
  </si>
  <si>
    <t>Reggane, Algeria</t>
  </si>
  <si>
    <t>Parys, South Africa</t>
  </si>
  <si>
    <t>Trompsburg, South Africa</t>
  </si>
  <si>
    <t xml:space="preserve"> MOZAMBIQUE CHANNEL</t>
  </si>
  <si>
    <t>Ain Bessem, Algeria</t>
  </si>
  <si>
    <t>Usungu Game Reserve, Tanzania</t>
  </si>
  <si>
    <t>SUDAN</t>
  </si>
  <si>
    <t>Abu Hamad, Sudan</t>
  </si>
  <si>
    <t xml:space="preserve"> OFF S. COAST OF NORTHWEST AFRICA</t>
  </si>
  <si>
    <t>Near Coast of Conakry, Guinea</t>
  </si>
  <si>
    <t>El Bayayadh Province, Algeria</t>
  </si>
  <si>
    <t>Danielskuil,South Africa</t>
  </si>
  <si>
    <t>Illizi Province, Algeria</t>
  </si>
  <si>
    <t>15 1st Avenue,Carletonville,2499,South Africa</t>
  </si>
  <si>
    <t>Tabora, Tanzania</t>
  </si>
  <si>
    <t xml:space="preserve"> KENYA</t>
  </si>
  <si>
    <t xml:space="preserve"> Narok. Kenya</t>
  </si>
  <si>
    <t>Oromia, Ethiopia</t>
  </si>
  <si>
    <t>Nzi-Comoe, Cote D'Ivoire</t>
  </si>
  <si>
    <t>Bo-Karoo, South Africa</t>
  </si>
  <si>
    <t>Dodoma, Tanzania</t>
  </si>
  <si>
    <t>Kondoa, Tanzania</t>
  </si>
  <si>
    <t>Zambezi, Zambia</t>
  </si>
  <si>
    <t>Embu, Kenya</t>
  </si>
  <si>
    <t>NEAR COAST OF LIBYA</t>
  </si>
  <si>
    <t>Al Jabal Al Gharbi, Libya</t>
  </si>
  <si>
    <t>Nzerekore, Guinea</t>
  </si>
  <si>
    <t>Nzi- Comoe,  South Africa</t>
  </si>
  <si>
    <t>CHAD REGION</t>
  </si>
  <si>
    <t>Ennedi, Chad</t>
  </si>
  <si>
    <t>Gagnoa, Cote d'Ivoire</t>
  </si>
  <si>
    <t>Diamandveld, South Africa</t>
  </si>
  <si>
    <t>Vallee du Bandama, Cote d'Ivoire</t>
  </si>
  <si>
    <t>Tera, Niger</t>
  </si>
  <si>
    <t>Daloa, Cote d'Ivoire</t>
  </si>
  <si>
    <t xml:space="preserve"> NEAR COAST OF LIBYA</t>
  </si>
  <si>
    <t>Az Zawiya, Libya</t>
  </si>
  <si>
    <t>Dongola, Sudan</t>
  </si>
  <si>
    <t>Eastvaal District Council, South Africa</t>
  </si>
  <si>
    <t>Sfax, Tunisia</t>
  </si>
  <si>
    <t>Manhica, Mozambique</t>
  </si>
  <si>
    <t>lejweleputswa, South Africa</t>
  </si>
  <si>
    <t>Central, South Africa</t>
  </si>
  <si>
    <t>OFF S. COAST OF NORTHWEST AFRICA</t>
  </si>
  <si>
    <t>Off S. Coast of Northwest Africa</t>
  </si>
  <si>
    <t>Faouar, Tunisia</t>
  </si>
  <si>
    <t>Kweneng, Botswana</t>
  </si>
  <si>
    <t>Manyara, Tanzania</t>
  </si>
  <si>
    <t>Kesra, Tunisia</t>
  </si>
  <si>
    <t>Gauteng, South Africa</t>
  </si>
  <si>
    <t>Machakos, Kenya</t>
  </si>
  <si>
    <t>Xhariep, South Africa</t>
  </si>
  <si>
    <t xml:space="preserve"> Near Coast of Tunisia</t>
  </si>
  <si>
    <t>Lagunes, Cote d'Ivoire</t>
  </si>
  <si>
    <t>Near Coast of Western Sahara, Morocco</t>
  </si>
  <si>
    <t>Makueni County, Kenya</t>
  </si>
  <si>
    <t>Tebassa Province, Algeria</t>
  </si>
  <si>
    <t>Sabie, South Africa</t>
  </si>
  <si>
    <t>Kufra District,  Libya</t>
  </si>
  <si>
    <t>Near Coast of Oued Gouissine, Algeria</t>
  </si>
  <si>
    <t>Edu Town, Nigeria</t>
  </si>
  <si>
    <t>Fderik, Mauritania</t>
  </si>
  <si>
    <t>Tiebissou Department, Cote d'Ivoire</t>
  </si>
  <si>
    <t>Douglas, South Africa</t>
  </si>
  <si>
    <t>Dimbokro, Cote d'Ivoire</t>
  </si>
  <si>
    <t>AUG</t>
  </si>
  <si>
    <t>MADAGASCAR</t>
  </si>
  <si>
    <t>Analalava, Madagascar</t>
  </si>
  <si>
    <t>Soweto, South Africa</t>
  </si>
  <si>
    <t>Near Coast of East  London, South Africa</t>
  </si>
  <si>
    <t>Bongouanou, Cote d'Ivoire</t>
  </si>
  <si>
    <t>Machakos County, Kenya</t>
  </si>
  <si>
    <t>Denguele District, Cote d'Ivoire</t>
  </si>
  <si>
    <t>Qesm Al Wahat Ad Dakhlah</t>
  </si>
  <si>
    <t>Al Wahat District, Libya</t>
  </si>
  <si>
    <t>Abengourou, Cote d'Ivoire</t>
  </si>
  <si>
    <t>Kobe, Chad</t>
  </si>
  <si>
    <t>Bouafle, Cote d' Ivoire</t>
  </si>
  <si>
    <t>Embu County, Kenya</t>
  </si>
  <si>
    <t>Morogoro, Tanzania</t>
  </si>
  <si>
    <t>147 Mount Pellan Drive,Johannesburg South Africa</t>
  </si>
  <si>
    <t>Standerton, South Africa</t>
  </si>
  <si>
    <t>Frankfort, South Africa</t>
  </si>
  <si>
    <t>Potchefstroom, South Africa</t>
  </si>
  <si>
    <t>Seno, Burkina Faso</t>
  </si>
  <si>
    <t>Hidoussa, Algeria</t>
  </si>
  <si>
    <t>Near Coast of Port Edward, South Africa</t>
  </si>
  <si>
    <t>W du Burkina Faso National Park,Burkina Faso</t>
  </si>
  <si>
    <t>Jelma, Tunisia</t>
  </si>
  <si>
    <t>Halayeb, Sudan</t>
  </si>
  <si>
    <t>Near Coast of Sidi El Abed, Morocco</t>
  </si>
  <si>
    <t>Qesm at Tour, South Sinai Governorate, Egypt</t>
  </si>
  <si>
    <t>Tombouctou, Mali</t>
  </si>
  <si>
    <t xml:space="preserve"> LIBYA</t>
  </si>
  <si>
    <t>Sirte District,Libya</t>
  </si>
  <si>
    <t>Nara, Mali</t>
  </si>
  <si>
    <t>Fderik,Mauritania</t>
  </si>
  <si>
    <t>Near Coast of  Harper, Liberia</t>
  </si>
  <si>
    <t>Rustfontein Nature Reserve, South Africa</t>
  </si>
  <si>
    <t>Manyoni, Tanzania</t>
  </si>
  <si>
    <t>Lakota,  Cote d'Ivoire</t>
  </si>
  <si>
    <t>Dhuusamareeb, Border of Somalia</t>
  </si>
  <si>
    <t>Taroudant, Morocco</t>
  </si>
  <si>
    <t>Gnagna, Burkina Faso</t>
  </si>
  <si>
    <t>Quthing, Lesotho, South Africa</t>
  </si>
  <si>
    <t>Khenifra Province, Morocco</t>
  </si>
  <si>
    <t>Kathu, South Africa</t>
  </si>
  <si>
    <t>Nadowli,Wa, Upper West, Ghana</t>
  </si>
  <si>
    <t>Hassi Messaoud, Algeria</t>
  </si>
  <si>
    <t>Tana River County, Kenya</t>
  </si>
  <si>
    <t>Abidjan, Cote d'Ivoire</t>
  </si>
  <si>
    <t>Merafong City Local Municipality, South Africa</t>
  </si>
  <si>
    <t>Reitz, South Africa</t>
  </si>
  <si>
    <t>Highmoor. South Africa</t>
  </si>
  <si>
    <t>Zeerust,South Africa</t>
  </si>
  <si>
    <t>Meru County, Kenya</t>
  </si>
  <si>
    <t>Isiolo County, Kenya</t>
  </si>
  <si>
    <t>Kajiado County, Kenya</t>
  </si>
  <si>
    <t>Dabola Prefecture,Guinea</t>
  </si>
  <si>
    <t>Yamoussourkro, Cote d'Ivoire</t>
  </si>
  <si>
    <t>Qesm Sidi Brani, Matruh Governorate, Egypt</t>
  </si>
  <si>
    <t>Near Coast of Zarzis,  Tunisia</t>
  </si>
  <si>
    <t>Near Coast of Monrovia, Liberia</t>
  </si>
  <si>
    <t>Toumodi, Cote d'Ivoire</t>
  </si>
  <si>
    <t>Near Coast of Faux Cap, Madagascar</t>
  </si>
  <si>
    <t>Koffiefontein, South Africa</t>
  </si>
  <si>
    <t>ZIMBABWE</t>
  </si>
  <si>
    <t>Matobo, Zimbabwe</t>
  </si>
  <si>
    <t>Benede, South Africa</t>
  </si>
  <si>
    <t>SEPT</t>
  </si>
  <si>
    <t>NORTHWEST OF MADAGASCAR</t>
  </si>
  <si>
    <t>Near Coast of Comoros</t>
  </si>
  <si>
    <t>Cangandala, Angola</t>
  </si>
  <si>
    <t>Qesm Al Wahat Ad Da, Egypt</t>
  </si>
  <si>
    <t>Brits, South Africa</t>
  </si>
  <si>
    <t>Prins Albert, South Africa</t>
  </si>
  <si>
    <t>Oume, Cote d'Ivoire</t>
  </si>
  <si>
    <t>Bir El Ater, Near Border of Tunisia</t>
  </si>
  <si>
    <t>Bekily, Madagascar</t>
  </si>
  <si>
    <t>M'bahiakro, Cote d'Ivoire</t>
  </si>
  <si>
    <t>Ngorongoro,Tanzania</t>
  </si>
  <si>
    <t>Beroroha, Madagascar</t>
  </si>
  <si>
    <t>Near Coast of East London, South Africa</t>
  </si>
  <si>
    <t>Haut- Sassandra, Cote d'Ivoire</t>
  </si>
  <si>
    <t>Brezina, Algeria</t>
  </si>
  <si>
    <t>Near Coast of Durban,  South Africa</t>
  </si>
  <si>
    <t>Kimberley, South Africa</t>
  </si>
  <si>
    <t>NG/34 Sankuyo Tshwaragano Community Trust, Botswana</t>
  </si>
  <si>
    <t>Ladybrand, South Africa</t>
  </si>
  <si>
    <t>Bouake, Cote d' Ivoire</t>
  </si>
  <si>
    <t>In Amguel,Algeria</t>
  </si>
  <si>
    <t>Gulf of Guinea</t>
  </si>
  <si>
    <t>Barkley West,South Africa</t>
  </si>
  <si>
    <t>Bougouni,Mali</t>
  </si>
  <si>
    <t>Meru County,Kenya</t>
  </si>
  <si>
    <t>MALAWI</t>
  </si>
  <si>
    <t>Lake Malawi</t>
  </si>
  <si>
    <t>Chama,Zambia</t>
  </si>
  <si>
    <t>Kesra,Tunisia</t>
  </si>
  <si>
    <t>Oualata, Mauritania</t>
  </si>
  <si>
    <t>Alepe,Cote d'Ivoire</t>
  </si>
  <si>
    <t>kgalagadi South,Botswana</t>
  </si>
  <si>
    <t>Griekwastad,South Africa</t>
  </si>
  <si>
    <t>Lakota,Cote d'Ivoire</t>
  </si>
  <si>
    <t>Dabakala,Cote d'Ivoire</t>
  </si>
  <si>
    <t>Groblersdal,South Africa</t>
  </si>
  <si>
    <t>Al Farafrah,New Valley Governorate,Egypt</t>
  </si>
  <si>
    <t>Baguirmi,Chad</t>
  </si>
  <si>
    <t>Nahr Jur,South Sudan</t>
  </si>
  <si>
    <t>Daloa,Cote d'Ivoire</t>
  </si>
  <si>
    <t>Loskop,South Africa</t>
  </si>
  <si>
    <t>Giza Governorate</t>
  </si>
  <si>
    <t>Ghassira,Algeria</t>
  </si>
  <si>
    <t>Mozambique Channel</t>
  </si>
  <si>
    <t>Hencha,Tunisia</t>
  </si>
  <si>
    <t>Domaine de Chasse des Azande, Democtaric Republic of the Congo</t>
  </si>
  <si>
    <t>Borji Badji Mokhtar,Algeria</t>
  </si>
  <si>
    <t>Dimbokro, Cote D'Ivoire</t>
  </si>
  <si>
    <t>CONGO</t>
  </si>
  <si>
    <t>Zanaga, Republic of the Congo</t>
  </si>
  <si>
    <t>NAMIBIA</t>
  </si>
  <si>
    <t>Karas Region, Namibia</t>
  </si>
  <si>
    <t>Parque Nacional de Zinave, 425, Mozambique</t>
  </si>
  <si>
    <t>Gourma Rharous, Mali</t>
  </si>
  <si>
    <t>Welkom, South Africa</t>
  </si>
  <si>
    <t>Machaze, Mozambique</t>
  </si>
  <si>
    <t>Reivilo, South Africa</t>
  </si>
  <si>
    <t>Nuanetsi Game Ranch, Zimbabwe</t>
  </si>
  <si>
    <t>Adrar Province, Algeria</t>
  </si>
  <si>
    <t>Sanguie, Burkina Faso</t>
  </si>
  <si>
    <t>Near Coast of Port Hacourt, Nigeria</t>
  </si>
  <si>
    <t>Equateur, Democratic Republic of the Congo</t>
  </si>
  <si>
    <t>Nalut District, Libya</t>
  </si>
  <si>
    <t>Oubritenga, Burkina Faso</t>
  </si>
  <si>
    <t>Westonaria, South Africa</t>
  </si>
  <si>
    <t>Kiwaba-Ngozi</t>
  </si>
  <si>
    <t>Qesm Al Wahat Al Khargah, Egypt</t>
  </si>
  <si>
    <t>Tapoa, Burkina Faso</t>
  </si>
  <si>
    <t>Kenchela Province, Algeria</t>
  </si>
  <si>
    <t>Bengazi, Libya</t>
  </si>
  <si>
    <t>Sud-Bandama, Cote D'Ivoire</t>
  </si>
  <si>
    <t>Mier, South Africa</t>
  </si>
  <si>
    <t>Bourem, Mali</t>
  </si>
  <si>
    <t>OCT</t>
  </si>
  <si>
    <t xml:space="preserve"> 0.0f</t>
  </si>
  <si>
    <t>El Oued Province, Algeria</t>
  </si>
  <si>
    <t>Maniema, Democratic Republic of the Congo</t>
  </si>
  <si>
    <t>Ouled Haffouz, Tunisia</t>
  </si>
  <si>
    <t>Near Coast of Tunis, Tunisia</t>
  </si>
  <si>
    <t>Near Coast of Alexandria, Egypt</t>
  </si>
  <si>
    <t>Near Coast of Tipasa, Algeria</t>
  </si>
  <si>
    <t xml:space="preserve"> NORTHWEST AFRICA</t>
  </si>
  <si>
    <t>Gbi and Doru, Liberia</t>
  </si>
  <si>
    <t xml:space="preserve"> UGANDA</t>
  </si>
  <si>
    <t>Kalinzu Central Forest Reserve, Uganda</t>
  </si>
  <si>
    <t>Near Coast of Kaloum, Conakry, Guinea</t>
  </si>
  <si>
    <t>Ladismith, South Africa</t>
  </si>
  <si>
    <t>Boboye, Niger</t>
  </si>
  <si>
    <t>206 Robert Road, Randburg,1709, South Africa</t>
  </si>
  <si>
    <t>Dabakala, Cote d'lvoire</t>
  </si>
  <si>
    <t>Sebt Aziz, Algeria</t>
  </si>
  <si>
    <t>Lualaba, Democratic Republic of the Congo</t>
  </si>
  <si>
    <t>Kirinyaga County, Kenya</t>
  </si>
  <si>
    <t>Tiassale, Cote d'lvoire</t>
  </si>
  <si>
    <t>Near Coast of Sfax, Tunisia</t>
  </si>
  <si>
    <t>Near Coast of Namibe, Angola</t>
  </si>
  <si>
    <t>Ferkessedougou, Cote d'lvoire</t>
  </si>
  <si>
    <t>Ajdabiya, Libya</t>
  </si>
  <si>
    <t>Mozambiue Channel, Near Coast of Maputo, Mozambique</t>
  </si>
  <si>
    <t>Near coast of Antisiranana, Madagascar</t>
  </si>
  <si>
    <t>Degehabur, Ethiopia</t>
  </si>
  <si>
    <t>Mozambique Channel, Near Coast of Toliara, Madagascar</t>
  </si>
  <si>
    <t>Volksrust, South Africa</t>
  </si>
  <si>
    <t>Qesm Al Wahat Al Khargah, New Valley Governorate, Egypt</t>
  </si>
  <si>
    <t>Mtinkwe, South Africa</t>
  </si>
  <si>
    <t>Tharaka-Nithi County, Kenya</t>
  </si>
  <si>
    <t>Bushbuck Ridge, South Africa</t>
  </si>
  <si>
    <t>NOV</t>
  </si>
  <si>
    <t>Mozambique Channel, Mozambique</t>
  </si>
  <si>
    <t>Liberia</t>
  </si>
  <si>
    <t>Meranfong City Local Municipality,South Africa</t>
  </si>
  <si>
    <t>Say,Niger</t>
  </si>
  <si>
    <t>Jufra District,Libya</t>
  </si>
  <si>
    <t>Tebessa Province,Algeria</t>
  </si>
  <si>
    <t xml:space="preserve">0.0f </t>
  </si>
  <si>
    <t>Omo, Ethiopia</t>
  </si>
  <si>
    <t>Filingue, Niger</t>
  </si>
  <si>
    <t>near coast of Alexandria</t>
  </si>
  <si>
    <t>near coast of sperrgebiet</t>
  </si>
  <si>
    <t>Kiambu County, Kenya</t>
  </si>
  <si>
    <t>Njombe, Tanzania</t>
  </si>
  <si>
    <t xml:space="preserve">0.0f  </t>
  </si>
  <si>
    <t>Delmas,South Africa</t>
  </si>
  <si>
    <t xml:space="preserve"> 0.0f </t>
  </si>
  <si>
    <t>Inhassoro, Mozambique</t>
  </si>
  <si>
    <t>Matutuine District, Mozambique</t>
  </si>
  <si>
    <t>Taguedit, Algeria</t>
  </si>
  <si>
    <t>Mareth,Tunisia</t>
  </si>
  <si>
    <t>Komandjari,Burkina Faso</t>
  </si>
  <si>
    <t>Indian Ocean, Off Coast of South Africa</t>
  </si>
  <si>
    <t>Butha-Buthe,Lesotho</t>
  </si>
  <si>
    <t>Qesm Hurghada, Red Sea Governorate, Egypt</t>
  </si>
  <si>
    <t>near coast of Orupembe,Namibia</t>
  </si>
  <si>
    <t>Bouna,Cote d'Ivoire</t>
  </si>
  <si>
    <t>Bight of Bonny</t>
  </si>
  <si>
    <t>Red Sea, Near Coast Off Suakin, Sudan</t>
  </si>
  <si>
    <t>Sebkhet en Noual,Tunisia</t>
  </si>
  <si>
    <t>Mocimboa de Praia, Mozambique</t>
  </si>
  <si>
    <t>Kitui County, Kenya</t>
  </si>
  <si>
    <t>Keru County, Kenya</t>
  </si>
  <si>
    <t>KuMqongo,South Africa</t>
  </si>
  <si>
    <t>Tsaratanana, Madagascar</t>
  </si>
  <si>
    <t>Kleinpoort,South Africa</t>
  </si>
  <si>
    <t>Goubellat,Tunisia</t>
  </si>
  <si>
    <t>SOUTHERN SOMALIA</t>
  </si>
  <si>
    <t>Baidoa, Somalia</t>
  </si>
  <si>
    <t>Khemisset Province,Morocco</t>
  </si>
  <si>
    <t>Bongouanou,Cote d'Ivoire</t>
  </si>
  <si>
    <t>Mashonaland East Province, Zimbabwe</t>
  </si>
  <si>
    <t>Aboisso, Cote d'Ivoire</t>
  </si>
  <si>
    <t>Wolmaransstand, South Africa</t>
  </si>
  <si>
    <t>Ouallam, Niger</t>
  </si>
  <si>
    <t>Naledi, South Africa</t>
  </si>
  <si>
    <t xml:space="preserve">M'ziraa, Algeria </t>
  </si>
  <si>
    <t>Redeyef, Tunisia</t>
  </si>
  <si>
    <t>Off the coast of Casablanca, Morocco</t>
  </si>
  <si>
    <t>Gorongosa, Mozambique</t>
  </si>
  <si>
    <t>Issia, Cote D'Ivoire</t>
  </si>
  <si>
    <t>TURKEY</t>
  </si>
  <si>
    <t>Centice, 32400 Yalvac/Isparta province, Turkey</t>
  </si>
  <si>
    <t>Yesilkoy, 09520 Cine/Aydin Province, Turkey</t>
  </si>
  <si>
    <t>Oum El Bouaghi Province, Algeria</t>
  </si>
  <si>
    <t>Off the coast of Ambovombe, Madgascar</t>
  </si>
  <si>
    <t>Off the coast of Durban, South Africa</t>
  </si>
  <si>
    <t>Ouargla Province, Algeria</t>
  </si>
  <si>
    <t>Moulay idriss Zerhoun, Fes, Morocco</t>
  </si>
  <si>
    <t xml:space="preserve"> OFF COAST OF SOUTH AFRICA</t>
  </si>
  <si>
    <t>Off the coast of Cape Town, South Africa</t>
  </si>
  <si>
    <t>Borkou, Chad</t>
  </si>
  <si>
    <t>Sogutlubahce, 02900 Sincik/Adiyaman Province, Turkey</t>
  </si>
  <si>
    <t>Asagiumutlu, 24610 Kemaliye/Erzincan, Turkey</t>
  </si>
  <si>
    <t>Reserve de Faune du Ferlo Nord, N7, Senegal</t>
  </si>
  <si>
    <t>Djelfa Province, Algeria</t>
  </si>
  <si>
    <t>Wajir County, Kenya</t>
  </si>
  <si>
    <t>Schweizer-Reneke, South Africa</t>
  </si>
  <si>
    <t>Hopetown, South Africa</t>
  </si>
  <si>
    <t>Afder, Ethiopia</t>
  </si>
  <si>
    <t>Ijara, Kenya</t>
  </si>
  <si>
    <t>Mozambique Channel, Off the coast of Maintirano, Madagascar</t>
  </si>
  <si>
    <t>Nebeur, Tunisia</t>
  </si>
  <si>
    <t>Tabuk Province, Saudi Arabia</t>
  </si>
  <si>
    <t>Gafsa Sud, Tunisia</t>
  </si>
  <si>
    <t>Bosof, South Africa</t>
  </si>
  <si>
    <t>DEC</t>
  </si>
  <si>
    <t>Ol Donyo Sabuk National Park, Kenya</t>
  </si>
  <si>
    <t>Kruger Park, South Africa</t>
  </si>
  <si>
    <t>Mazzouna, Tunisia</t>
  </si>
  <si>
    <t>Dahmani, Tunisia</t>
  </si>
  <si>
    <t>LAKE TANGANYIKA REGION</t>
  </si>
  <si>
    <t>Chiengi, Zambia</t>
  </si>
  <si>
    <t>Qesm Siwah, Matrouh Governorate, Egypt</t>
  </si>
  <si>
    <t>Sud-Bandana, Cote d'Ivoire</t>
  </si>
  <si>
    <t xml:space="preserve"> EGYPT</t>
  </si>
  <si>
    <t>Near Coast of Bardiyah, Libya</t>
  </si>
  <si>
    <t>Wadi Halfa, Sudan</t>
  </si>
  <si>
    <t>Kadugli, Sudan</t>
  </si>
  <si>
    <t>Near Coast of Petit Port, Mostaganem, Algeria</t>
  </si>
  <si>
    <t>Burgersdorp, South Africa</t>
  </si>
  <si>
    <t>Barkley West, South Africa</t>
  </si>
  <si>
    <t>Mandritsara District, Madagascar</t>
  </si>
  <si>
    <t>Narok County, Kenya</t>
  </si>
  <si>
    <t>Wolmaransstad, South Africa</t>
  </si>
  <si>
    <t>Daoukro, Cote d'Ivoire</t>
  </si>
  <si>
    <t>Near Coast of Durban, South Africa</t>
  </si>
  <si>
    <t>Nzi-Comoe, Cote d'Ivore</t>
  </si>
  <si>
    <t>Derna District, Libya</t>
  </si>
  <si>
    <t>Xonghile Game Reserve, Mozambique</t>
  </si>
  <si>
    <t>Pretoria Rural, South Africa</t>
  </si>
  <si>
    <t>Machakos County,Kenya</t>
  </si>
  <si>
    <t>Mediterranean Sea, Egypt</t>
  </si>
  <si>
    <t>Nyandarua County, Kenya</t>
  </si>
  <si>
    <t>Quesso, Republic of the Congo</t>
  </si>
  <si>
    <t>SWAZILAND</t>
  </si>
  <si>
    <t>Mbuluzi Conservancy, Ngomane, Swaziland</t>
  </si>
  <si>
    <t>Ennedi Est, Chad</t>
  </si>
  <si>
    <t>Yatenga, Burkina Faso</t>
  </si>
  <si>
    <t>North Atlantic Ocean, Off Coast of Sierra Leone</t>
  </si>
  <si>
    <t>Ellisras, South Africa</t>
  </si>
  <si>
    <t>Burgersfort, South Africa</t>
  </si>
  <si>
    <t>El Haouch, Algeria</t>
  </si>
  <si>
    <t>Oum El Assel, Algeria</t>
  </si>
  <si>
    <t>Bouafle, Cote d'Ivoire</t>
  </si>
  <si>
    <t>Bonthe, Sierra Leone</t>
  </si>
  <si>
    <t>Indian Ocean, Off Coast of Vangaindrano</t>
  </si>
  <si>
    <t>Sebkhet Areg Makhizene, Tunisia</t>
  </si>
  <si>
    <t>Faranah Prefecture, Guinea</t>
  </si>
  <si>
    <t>Vrede, South Africa</t>
  </si>
  <si>
    <t>Porkpa, Libya</t>
  </si>
  <si>
    <t>Kairouan, Tunisia</t>
  </si>
  <si>
    <t>Baleit, Sudan</t>
  </si>
  <si>
    <t>North Atlantic Ocean, Off Coast of Casablanca</t>
  </si>
  <si>
    <t>North Atlantic Ocean, Off Coast of Monrovia</t>
  </si>
  <si>
    <t>Loga, Niger</t>
  </si>
  <si>
    <t>Prieska, South Africa</t>
  </si>
  <si>
    <t>Regueb, Tunisia</t>
  </si>
  <si>
    <t>JAN</t>
  </si>
  <si>
    <t>Zoe-Gbao, Liberia</t>
  </si>
  <si>
    <t>Bilma, Niger</t>
  </si>
  <si>
    <t>Metekel, Ethiopia</t>
  </si>
  <si>
    <t>Polokwane Local Municipality, South Africa</t>
  </si>
  <si>
    <t>Chinguetti, Mauritania</t>
  </si>
  <si>
    <t>Podor, Senegal</t>
  </si>
  <si>
    <t>Yobe, Nigeria</t>
  </si>
  <si>
    <t>UGANDA</t>
  </si>
  <si>
    <t>Lake Albert, Uganda</t>
  </si>
  <si>
    <t>Lichtenburg, South Africa</t>
  </si>
  <si>
    <t>Kati, Mali</t>
  </si>
  <si>
    <t>Mayumbe, Democratic Republic of the Congo</t>
  </si>
  <si>
    <t>Laikipia County, Kenya</t>
  </si>
  <si>
    <t>Off the Coast of Port Said, Egypt</t>
  </si>
  <si>
    <t>Cuita, Canavale, Angola</t>
  </si>
  <si>
    <t>Khemisset Province, Morocco</t>
  </si>
  <si>
    <t>Off the Coast of Antananarivo, Madagascar</t>
  </si>
  <si>
    <t>Klerksdorp, South Africa</t>
  </si>
  <si>
    <t>Krugersdorp, South Afrca</t>
  </si>
  <si>
    <t>Betafo, Madagascar</t>
  </si>
  <si>
    <t>Tera,Niger</t>
  </si>
  <si>
    <t>Kroonstad,South Africa</t>
  </si>
  <si>
    <t>Gnagna,Burkina Faso</t>
  </si>
  <si>
    <t>11.3f</t>
  </si>
  <si>
    <t>Near coast of Bekalta,Tunisia</t>
  </si>
  <si>
    <t>Tzaneen, South Africa</t>
  </si>
  <si>
    <t>Toumodi,Cote d'Ivoire</t>
  </si>
  <si>
    <t>Arlit,Niger</t>
  </si>
  <si>
    <t>Wadi Halfa,Sudan</t>
  </si>
  <si>
    <t>Issia, Cote d'Ivoire</t>
  </si>
  <si>
    <t>Trompsburg,South Africa</t>
  </si>
  <si>
    <t>Cairo Governorate, Egypt</t>
  </si>
  <si>
    <t>Tozeur,Tunisia</t>
  </si>
  <si>
    <t>El-Senbellawein Dakahlia Governorate,Egypt</t>
  </si>
  <si>
    <t>Benghazi district,Libya</t>
  </si>
  <si>
    <t>Near coast of Alexandria,Egypt</t>
  </si>
  <si>
    <t>Kossi, Burkina Faso</t>
  </si>
  <si>
    <t>Daloa, Cote d'lvoire</t>
  </si>
  <si>
    <t>Mellit, Sudan</t>
  </si>
  <si>
    <t>Khenchela Province, Algeria</t>
  </si>
  <si>
    <t xml:space="preserve"> Gulf of Hammamet, Tunisia</t>
  </si>
  <si>
    <t>Boin National Park, Essase, Ghana</t>
  </si>
  <si>
    <t>Molteno, South Africa</t>
  </si>
  <si>
    <t>Alepe, Cote d'lvoire</t>
  </si>
  <si>
    <t>Agnibilekrou, Cote d'lvoire</t>
  </si>
  <si>
    <t>Near Coast of Port Elizabeth, Jeffreys Bay, South Africa</t>
  </si>
  <si>
    <t xml:space="preserve"> ETHIOPIA</t>
  </si>
  <si>
    <t>Arsi, Ethiopia</t>
  </si>
  <si>
    <t>Sud-Bandama, Cote d'lvoire</t>
  </si>
  <si>
    <t>Near Coast of Monastir, Tunisia</t>
  </si>
  <si>
    <t>Ksour, Algeria</t>
  </si>
  <si>
    <t>Hammam Guergour, Algeria</t>
  </si>
  <si>
    <t>Near Coast of Port Elizabeth, South Africa</t>
  </si>
  <si>
    <t>Bordj Badji Mokhtar, Algeria</t>
  </si>
  <si>
    <t>Dimbokro, Cote d'lvoire</t>
  </si>
  <si>
    <t>Near Coast of Lmlili, Mauritania</t>
  </si>
  <si>
    <t>Kouroussa Prefecture, Guinea</t>
  </si>
  <si>
    <t>Lubombo Region, Swaziland</t>
  </si>
  <si>
    <t>FEB</t>
  </si>
  <si>
    <t>Agareb, Tunisia</t>
  </si>
  <si>
    <t>Jobstown, Newcastle, South Africa</t>
  </si>
  <si>
    <t xml:space="preserve"> MAURITIUS-REUNION REGION</t>
  </si>
  <si>
    <t>Near Coast of Saint-Denis</t>
  </si>
  <si>
    <t>Moudjeria, Mauritania</t>
  </si>
  <si>
    <t>Yawri Bay</t>
  </si>
  <si>
    <t>Gulf of Guinea,Near Coast of Warri, Nigeria</t>
  </si>
  <si>
    <t>Near Coast of Shimoni</t>
  </si>
  <si>
    <t>Near Coast of Mellita , Tunisia</t>
  </si>
  <si>
    <t>Near Coast of Bizerte, Tunisia</t>
  </si>
  <si>
    <t>Oshikoto Region, Namibia</t>
  </si>
  <si>
    <t>Gulf of Guinea, Near Coast of Ahobre, Ghana</t>
  </si>
  <si>
    <t>Dinguiraye Prefecture, Guinea</t>
  </si>
  <si>
    <t>Jedaida, Tunisia</t>
  </si>
  <si>
    <t>Tichit, Mauritania</t>
  </si>
  <si>
    <t>Warder, Ethiopia</t>
  </si>
  <si>
    <t>Mopela, Mozambique</t>
  </si>
  <si>
    <t>Kufra District</t>
  </si>
  <si>
    <t>Kutum, Sudan</t>
  </si>
  <si>
    <t>In Amguel, Algeria</t>
  </si>
  <si>
    <t>Makwane, Phuthaditjhaba, South Africa</t>
  </si>
  <si>
    <t>Jebrat al Sheikh, Sudan</t>
  </si>
  <si>
    <t>Elukwatini, South Africa</t>
  </si>
  <si>
    <t>Near Coast of Houmt Souk, Tunisia</t>
  </si>
  <si>
    <t>Magude, Mozambique</t>
  </si>
  <si>
    <t>Sabalat Ouled Asker, Tunisia</t>
  </si>
  <si>
    <t>Near Coast of Kibiro, Uganda</t>
  </si>
  <si>
    <t>MAURITIUS-REUNION REGION</t>
  </si>
  <si>
    <t>Red Sea Governorate, Egypt</t>
  </si>
  <si>
    <t>Serenje, Zambia</t>
  </si>
  <si>
    <t>Iringa, Tanzania</t>
  </si>
  <si>
    <t>Near Coast of Massinga, Mozambique</t>
  </si>
  <si>
    <t>Buhaguzi, Uganda</t>
  </si>
  <si>
    <t>MAR</t>
  </si>
  <si>
    <t>Indian Ocean, Off Coast of Durban</t>
  </si>
  <si>
    <t>Indian Ocean, Off Coast of Reunion</t>
  </si>
  <si>
    <t>Indian Ocean, Off Coast of Somalia</t>
  </si>
  <si>
    <t>Rufiji,Tanzania</t>
  </si>
  <si>
    <t>near coast of Taolagnaro, Madagascar</t>
  </si>
  <si>
    <t>somerset east, South Africa</t>
  </si>
  <si>
    <t>Guiglo, Cote d'Ivoire</t>
  </si>
  <si>
    <t>Delmas, South Africa</t>
  </si>
  <si>
    <t>Senekal, South Africa</t>
  </si>
  <si>
    <t>CRETE</t>
  </si>
  <si>
    <t>Near coast of lentas, Crete</t>
  </si>
  <si>
    <t>Sheikan, Sudan</t>
  </si>
  <si>
    <t>Kruger Park, South Afrca</t>
  </si>
  <si>
    <t>Qism Moursy Matrouh, Egypt</t>
  </si>
  <si>
    <t>Ventersdorp, South Africa</t>
  </si>
  <si>
    <t>Jufra District, Libya</t>
  </si>
  <si>
    <t>Near coast of Cape Town</t>
  </si>
  <si>
    <t>Near coast of Port Elizabeth</t>
  </si>
  <si>
    <t>Griekwastad, South Africa</t>
  </si>
  <si>
    <t>Bo Karoo, South Africa</t>
  </si>
  <si>
    <t>Bouna, Cote d'Ivoire</t>
  </si>
  <si>
    <t xml:space="preserve">91.4f </t>
  </si>
  <si>
    <t>near coast of Loutro</t>
  </si>
  <si>
    <t>El Bayadh Province, Algeria</t>
  </si>
  <si>
    <t>Near coast of Cape Town, South Africa</t>
  </si>
  <si>
    <t>near of Port Elizabeth, South Africa</t>
  </si>
  <si>
    <t>Kiffa, Mauritania</t>
  </si>
  <si>
    <t>near coast of Umm Ar Rizam, Libya</t>
  </si>
  <si>
    <t>Kindia Prefecture, Guinea</t>
  </si>
  <si>
    <t xml:space="preserve">44.2f </t>
  </si>
  <si>
    <t>Notio Kritiko Pelagos, Crete</t>
  </si>
  <si>
    <t>Durban, South Africa</t>
  </si>
  <si>
    <t>kweneng district, Bostwana</t>
  </si>
  <si>
    <t xml:space="preserve">124.0f </t>
  </si>
  <si>
    <t>Palaiochora, Crete</t>
  </si>
  <si>
    <t>APR</t>
  </si>
  <si>
    <t>Taza Province, Morocco</t>
  </si>
  <si>
    <t>Bethlehem, South Africa</t>
  </si>
  <si>
    <t>Vereeniging, South Africa</t>
  </si>
  <si>
    <t>Jouberton, Klerksdorp, 2574, South Africa</t>
  </si>
  <si>
    <t>Adzope, Cote d'lvoire</t>
  </si>
  <si>
    <t>Wadi al Shatii District, Libya</t>
  </si>
  <si>
    <t>Mahalapye, Botswana</t>
  </si>
  <si>
    <t>CKGR, Botswana</t>
  </si>
  <si>
    <t>LESOTHO</t>
  </si>
  <si>
    <t>Maseru, Lesotho</t>
  </si>
  <si>
    <t>Province de Figuig</t>
  </si>
  <si>
    <t>Boshof, South Africa</t>
  </si>
  <si>
    <t>Barkly East, South Africa</t>
  </si>
  <si>
    <t>Thaba- Tseka, Lesotho</t>
  </si>
  <si>
    <t xml:space="preserve"> NORTHERN ALGERIA</t>
  </si>
  <si>
    <t>El Oued Province</t>
  </si>
  <si>
    <t>Ermelo, South Africa</t>
  </si>
  <si>
    <t>Misrata District, Libya</t>
  </si>
  <si>
    <t>Saint- Louis, Senegal</t>
  </si>
  <si>
    <t>Mahres, Tunisia</t>
  </si>
  <si>
    <t>Near Coast of Dakhla, Mauritania</t>
  </si>
  <si>
    <t>Dosso, Niger</t>
  </si>
  <si>
    <t>Bole, Ghana</t>
  </si>
  <si>
    <t xml:space="preserve">BOTSWANA                        </t>
  </si>
  <si>
    <t>Sefwi-Wiawso, Ghana</t>
  </si>
  <si>
    <t>Dimtokros, Cote dlvoire</t>
  </si>
  <si>
    <t>Lakota, Cote dlvoire</t>
  </si>
  <si>
    <t>Mamou Prefecture, Guinea</t>
  </si>
  <si>
    <t>Denguele District</t>
  </si>
  <si>
    <t>Mansaba, Guinea-Bissau</t>
  </si>
  <si>
    <t>Aboisso, Cote dlvoire</t>
  </si>
  <si>
    <t>lllizi Province, Algeria</t>
  </si>
  <si>
    <t>Komandjari, Burkina Faso</t>
  </si>
  <si>
    <t>Mwenezi, Zimbabwe</t>
  </si>
  <si>
    <t>Timbedra, Mauritania</t>
  </si>
  <si>
    <t>Al Mounagat as Sughra, Egypt</t>
  </si>
  <si>
    <t>Dendron, South Africa</t>
  </si>
  <si>
    <t>Midvaal Local Municipality, South Africa</t>
  </si>
  <si>
    <t>Port Nolloth, South Africa</t>
  </si>
  <si>
    <t>Kwara, Nigeria</t>
  </si>
  <si>
    <t>Tiassale, Cote dlvoire</t>
  </si>
  <si>
    <t>Singou Reserve, Burkina Faso</t>
  </si>
  <si>
    <t>Virginia, South Africa</t>
  </si>
  <si>
    <t>Bobonong, Botswana</t>
  </si>
  <si>
    <t>MAY</t>
  </si>
  <si>
    <t xml:space="preserve"> 6.7906 </t>
  </si>
  <si>
    <t xml:space="preserve"> 0.6522 </t>
  </si>
  <si>
    <t>Togo</t>
  </si>
  <si>
    <t xml:space="preserve"> 5.0228 </t>
  </si>
  <si>
    <t xml:space="preserve"> -1.7542 </t>
  </si>
  <si>
    <t>Wassa East, Ghana</t>
  </si>
  <si>
    <t xml:space="preserve"> 10.5622 </t>
  </si>
  <si>
    <t> -12.0004</t>
  </si>
  <si>
    <t xml:space="preserve"> 28.1982 </t>
  </si>
  <si>
    <t>Heidelberg, South Africa</t>
  </si>
  <si>
    <t>Schweizzer- Reneke, south Africa</t>
  </si>
  <si>
    <t xml:space="preserve"> 12.4283 </t>
  </si>
  <si>
    <t xml:space="preserve">NORTHWEST AFRICA </t>
  </si>
  <si>
    <t xml:space="preserve"> 3.7641 </t>
  </si>
  <si>
    <t>Off the coast of Liberia</t>
  </si>
  <si>
    <t xml:space="preserve"> 13.1348 </t>
  </si>
  <si>
    <t xml:space="preserve"> 1.5601 </t>
  </si>
  <si>
    <t> 1.7512</t>
  </si>
  <si>
    <t>Bassila, Benin</t>
  </si>
  <si>
    <t>Zota, Liberia</t>
  </si>
  <si>
    <t xml:space="preserve">OFF S. COAST OF NORTHWEST AFRICA </t>
  </si>
  <si>
    <t>near coast of Takoradi, Ghana</t>
  </si>
  <si>
    <t>Off the Coast of Cote D'Ivoire</t>
  </si>
  <si>
    <t xml:space="preserve"> 6.6112 </t>
  </si>
  <si>
    <t>Haut- Sassandra, Cote D'Ivoire</t>
  </si>
  <si>
    <t xml:space="preserve"> 5.7477 </t>
  </si>
  <si>
    <t xml:space="preserve"> -5.6346 </t>
  </si>
  <si>
    <t>Lakota, Cote D'Ivoire</t>
  </si>
  <si>
    <t>Abengourou, Cote D'Ivoire</t>
  </si>
  <si>
    <t>Bas-Sassandra Region, Cote D'Ivoire</t>
  </si>
  <si>
    <t>near coast of At Tamimi</t>
  </si>
  <si>
    <t>Al Farafrah, New valley Governorate, Egypt</t>
  </si>
  <si>
    <t xml:space="preserve"> 14.5848 </t>
  </si>
  <si>
    <t>Oudalan, Burkina Faso</t>
  </si>
  <si>
    <t xml:space="preserve"> 5.6750 </t>
  </si>
  <si>
    <t>Bouca, Central African Republic</t>
  </si>
  <si>
    <t xml:space="preserve"> 6.1320 </t>
  </si>
  <si>
    <t>Divo, Cote D'Ivoire</t>
  </si>
  <si>
    <t> -9.9972</t>
  </si>
  <si>
    <t>Krugersdorp, South Africa</t>
  </si>
  <si>
    <t>Reivilo, 8595, south africa</t>
  </si>
  <si>
    <t> 30.7893</t>
  </si>
  <si>
    <t xml:space="preserve">REPUBLIC OF SOUTH AFRICA </t>
  </si>
  <si>
    <t>Maruleng, South Africa</t>
  </si>
  <si>
    <t>Laghouat Province, Algeria</t>
  </si>
  <si>
    <t>Omaheke Region, Namibia</t>
  </si>
  <si>
    <t>Loroum, Burkina Faso</t>
  </si>
  <si>
    <t>Karonga, Malawi</t>
  </si>
  <si>
    <t>Jendouba, Zambia</t>
  </si>
  <si>
    <t xml:space="preserve">ZAMBIA </t>
  </si>
  <si>
    <t>Senanga, Zambia</t>
  </si>
  <si>
    <t>Oualata,Mauritania</t>
  </si>
  <si>
    <t>REBUBLIC OF SOUTH AFRICA</t>
  </si>
  <si>
    <t>Mokhotlong, Lesotho</t>
  </si>
  <si>
    <t>Batha-East, Chad</t>
  </si>
  <si>
    <t>Marrupa, Moozambique</t>
  </si>
  <si>
    <t>Jabal Gharbi Distrist, Libya</t>
  </si>
  <si>
    <t>Near Coast of Ponta do Ouro, South Africa</t>
  </si>
  <si>
    <t>Near Coast of Richards Bay, South Africa</t>
  </si>
  <si>
    <t>Monduli, Tanzania</t>
  </si>
  <si>
    <t>REBUBLIIC OF SOUTH AFRICA</t>
  </si>
  <si>
    <t>2 Barkhuizen St, Carletonville, 2499, South Africa</t>
  </si>
  <si>
    <t>Unnamed Road, Zaouiet Djedidi, Tunisia</t>
  </si>
  <si>
    <t>Thala, Tunisia</t>
  </si>
  <si>
    <t>Kufra District, Libya</t>
  </si>
  <si>
    <t>COAST OF SOUTH AFRICA</t>
  </si>
  <si>
    <t>Near the Coast of Ambovombe, South Africa</t>
  </si>
  <si>
    <t>The Klaserie Private Nature Reserve</t>
  </si>
  <si>
    <t>Mwinilunga, Zambia</t>
  </si>
  <si>
    <t>Metlaoui, Tunisia</t>
  </si>
  <si>
    <t>EL Feidh, Algeria</t>
  </si>
  <si>
    <t>Near Coast of Benghazi, Libya</t>
  </si>
  <si>
    <t>Kabkabiya, Sudan</t>
  </si>
  <si>
    <t>Isiolo, Kenya</t>
  </si>
  <si>
    <t>Pacific Ocean</t>
  </si>
  <si>
    <t>Tamanrasset Province, Ajgeria</t>
  </si>
  <si>
    <t>Carnarvon, South Africa</t>
  </si>
  <si>
    <t>Vilankulo, Mozambique</t>
  </si>
  <si>
    <t>Laikipia, Kenya</t>
  </si>
  <si>
    <t>Banamba, Mali</t>
  </si>
  <si>
    <t>Indian Ocean</t>
  </si>
  <si>
    <t>Midvaal Local Province, South Africa</t>
  </si>
  <si>
    <t>Tchirozerine, Niger</t>
  </si>
  <si>
    <t>Nhamatanda, Mozambique</t>
  </si>
  <si>
    <t>Makoni, Zimbabwe</t>
  </si>
  <si>
    <t>Centenary, Zimbabwe</t>
  </si>
  <si>
    <t>Colesberg, South Africa</t>
  </si>
  <si>
    <t>Schweizzer- Reneke, South Africa</t>
  </si>
  <si>
    <t>Kalahari CBDC, South Africa</t>
  </si>
  <si>
    <t>Shendi, Sudan</t>
  </si>
  <si>
    <t>Empuluzi, South Africa</t>
  </si>
  <si>
    <t>Dabola Prefecture, Guinea</t>
  </si>
  <si>
    <t>Tizi Ouzou Province, Algeria</t>
  </si>
  <si>
    <t>Koster, South Africa</t>
  </si>
  <si>
    <t>Port Sudan, Sudan</t>
  </si>
  <si>
    <t>Arlit, Niger</t>
  </si>
  <si>
    <t>Near Coast Of Vredendal, South Africa</t>
  </si>
  <si>
    <t>Balfour, South Africa</t>
  </si>
  <si>
    <t>parc National De La Salonga-Nord, Democratic Republic of the Congo</t>
  </si>
  <si>
    <t>Mbombela, South Africa</t>
  </si>
  <si>
    <t>Taourirt Province, Morocco</t>
  </si>
  <si>
    <t>Douz, Tunisia</t>
  </si>
  <si>
    <t>Manzini, Swaziland</t>
  </si>
  <si>
    <t>Tibesti, Chad</t>
  </si>
  <si>
    <t>27..0060</t>
  </si>
  <si>
    <t>Gezahlale, South Africa</t>
  </si>
  <si>
    <t>Segou, Mali</t>
  </si>
  <si>
    <t>Amalgam, Johannesburg, 2092, South Africa</t>
  </si>
  <si>
    <t>EL Oued Province, Algeria</t>
  </si>
  <si>
    <t>Lahrayague, Morocco</t>
  </si>
  <si>
    <t>Oran Province, Algeria</t>
  </si>
  <si>
    <t>Lusaka Province, Zambia</t>
  </si>
  <si>
    <t>Govan Mbeki Municipality</t>
  </si>
  <si>
    <t>Maniema, Democratic Republic Of Congo</t>
  </si>
  <si>
    <t>COAST OF NORTHWEST AFRICA</t>
  </si>
  <si>
    <t>Off the Coast of Sierra Leone</t>
  </si>
  <si>
    <t>Tinduf, Algeria</t>
  </si>
  <si>
    <t>Wadi al Hayaa District, Libya</t>
  </si>
  <si>
    <t>Abalak, Niger</t>
  </si>
  <si>
    <t>Guelma Province, Algeria</t>
  </si>
  <si>
    <t>Ngamiland North, Botswana</t>
  </si>
  <si>
    <t>Wajir County</t>
  </si>
  <si>
    <t>West Rand</t>
  </si>
  <si>
    <t>Fochville</t>
  </si>
  <si>
    <t>Derna District</t>
  </si>
  <si>
    <t>Warrenton</t>
  </si>
  <si>
    <t>ALGERIA</t>
  </si>
  <si>
    <t>Souk Ahras Province</t>
  </si>
  <si>
    <t>Jerada Province</t>
  </si>
  <si>
    <t>Koffiefontein</t>
  </si>
  <si>
    <t>SOMALIA</t>
  </si>
  <si>
    <t>Gabiley</t>
  </si>
  <si>
    <t>Trompsburg</t>
  </si>
  <si>
    <t>0.0F</t>
  </si>
  <si>
    <t>Ijara</t>
  </si>
  <si>
    <t>Jebel Marra</t>
  </si>
  <si>
    <t>Misrata District</t>
  </si>
  <si>
    <t>Abalessa</t>
  </si>
  <si>
    <t>Dealesville</t>
  </si>
  <si>
    <t>Sanga</t>
  </si>
  <si>
    <t>Malelane</t>
  </si>
  <si>
    <t>Mosonthal-Marubitshi</t>
  </si>
  <si>
    <t>Heidelberg</t>
  </si>
  <si>
    <t>Carletonville</t>
  </si>
  <si>
    <t>Makhado</t>
  </si>
  <si>
    <t>CHAD</t>
  </si>
  <si>
    <t>Biltine</t>
  </si>
  <si>
    <t>Krugersdorp</t>
  </si>
  <si>
    <t>MAURITANIA</t>
  </si>
  <si>
    <t>Fderik</t>
  </si>
  <si>
    <t>T'kout</t>
  </si>
  <si>
    <t>Lake Nasser</t>
  </si>
  <si>
    <t>Merafong City Local Municipality</t>
  </si>
  <si>
    <t>NIGER</t>
  </si>
  <si>
    <t>Bilma</t>
  </si>
  <si>
    <t>Christiana</t>
  </si>
  <si>
    <t>Sembe</t>
  </si>
  <si>
    <t>Say</t>
  </si>
  <si>
    <t>Lake Edward</t>
  </si>
  <si>
    <t>Marj District</t>
  </si>
  <si>
    <t>Dealesvile, South Africa</t>
  </si>
  <si>
    <t>8360, Campbell, South Africa</t>
  </si>
  <si>
    <t>130f</t>
  </si>
  <si>
    <t>CENTRAL MEDITERRANEAN SEA</t>
  </si>
  <si>
    <t>Off the Coast of Libya</t>
  </si>
  <si>
    <t>New Valley Governorate, Egypt</t>
  </si>
  <si>
    <t>Off the Coast of Benghazi, Libya</t>
  </si>
  <si>
    <t>KwaMhlanga, South Africa</t>
  </si>
  <si>
    <t>Strijdpan Settlement, Delmas- South Africa</t>
  </si>
  <si>
    <t>Antsalova, Madagascar</t>
  </si>
  <si>
    <t>Kroonstad, South Africa</t>
  </si>
  <si>
    <t>STRAIT OF GILBRALTAR</t>
  </si>
  <si>
    <t>Off the Coast of Morocco</t>
  </si>
  <si>
    <t>EASTERN MEDITERRANEAN SEA</t>
  </si>
  <si>
    <t>Off the Coast of Egypt</t>
  </si>
  <si>
    <t>Hhohho Region, Swaziland</t>
  </si>
  <si>
    <t>Bir Mogrein, Mauritania</t>
  </si>
  <si>
    <t>Red Sea Governate, Egypt</t>
  </si>
  <si>
    <t>SOUTH INDIAN OCEAN</t>
  </si>
  <si>
    <t>Seychelles</t>
  </si>
  <si>
    <t>Kweneng East, Botswana</t>
  </si>
  <si>
    <t>Ohrigstad River-Mpumalanga, South Africa</t>
  </si>
  <si>
    <t>Limpopo, South Africa</t>
  </si>
  <si>
    <t>OFF SOUTH COAST OF NORTH AFRICA</t>
  </si>
  <si>
    <t>El Borma, Algeria</t>
  </si>
  <si>
    <t>Kollo, Niger</t>
  </si>
  <si>
    <t>Adjabiya, Libya</t>
  </si>
  <si>
    <t>Tessalit, Mali</t>
  </si>
  <si>
    <t>Tarmount, Algeria</t>
  </si>
  <si>
    <t>Samburu County, Kenya</t>
  </si>
  <si>
    <t>Temba, South Africa</t>
  </si>
  <si>
    <t>Oulled Sellem, Algeria</t>
  </si>
  <si>
    <t>Béchar Province, Algeria</t>
  </si>
  <si>
    <t>Beyla Prefecture, Guinea</t>
  </si>
  <si>
    <t>Coast of Libya</t>
  </si>
  <si>
    <t>Borkou,Chad</t>
  </si>
  <si>
    <t>ETHOPIA</t>
  </si>
  <si>
    <t>Korahe, Ethopia</t>
  </si>
  <si>
    <t>Afar Zone 1, Ethopia</t>
  </si>
  <si>
    <t>Afar Zone 4, Ethopia</t>
  </si>
  <si>
    <t>R'Kiz, Mauritania</t>
  </si>
  <si>
    <t>Save River, Mozambique</t>
  </si>
  <si>
    <t>Kakamenga County,Kenya</t>
  </si>
  <si>
    <t>SOUTH AFRICA</t>
  </si>
  <si>
    <t>Pofadder, South Africa</t>
  </si>
  <si>
    <t>Bronkhorstspruit, South Africa</t>
  </si>
  <si>
    <t>Ventersdrop, South Africa</t>
  </si>
  <si>
    <t>Machakos County</t>
  </si>
  <si>
    <t>El Wak</t>
  </si>
  <si>
    <t>Near the border of Malawi and Tanzania, Mbinga</t>
  </si>
  <si>
    <t>Diamondfields</t>
  </si>
  <si>
    <t>South Kordofan</t>
  </si>
  <si>
    <t>Wanla Weyn</t>
  </si>
  <si>
    <t>Nasrallah</t>
  </si>
  <si>
    <t>Sidi Bou Zid</t>
  </si>
  <si>
    <t>Off the coast of Sierra Leone</t>
  </si>
  <si>
    <t>Hoopstad</t>
  </si>
  <si>
    <t>Gogounou, Benin</t>
  </si>
  <si>
    <t>Olooloitikosh</t>
  </si>
  <si>
    <t>Narok County</t>
  </si>
  <si>
    <t>Makueni County</t>
  </si>
  <si>
    <t>Laghouat Province</t>
  </si>
  <si>
    <t>Ouargla Province</t>
  </si>
  <si>
    <t>Mediterranean sea, off the coast of Algeria</t>
  </si>
  <si>
    <t>Luuk</t>
  </si>
  <si>
    <t>Mediterranean sea, off the coast of Libya</t>
  </si>
  <si>
    <t>Randfontein</t>
  </si>
  <si>
    <t>Edenburg</t>
  </si>
  <si>
    <t>Monduli</t>
  </si>
  <si>
    <t>DEMOCRATIC REPUBLIC OF CONGO</t>
  </si>
  <si>
    <t>South-Kivu</t>
  </si>
  <si>
    <t>Randfontein,R14, South Africa</t>
  </si>
  <si>
    <t>Edenburg, 9908, South Africa</t>
  </si>
  <si>
    <t>South- Kuvi, Lake Tananyika Region</t>
  </si>
  <si>
    <t>SOUTH ATLANTIC OCEAN</t>
  </si>
  <si>
    <t>Off the coast of Angola</t>
  </si>
  <si>
    <t>Potchefstrom, South Africa</t>
  </si>
  <si>
    <t>Hardap Region, Namibia</t>
  </si>
  <si>
    <t>Nakuru County, Kenya</t>
  </si>
  <si>
    <t>Ankazobe, Madagascar</t>
  </si>
  <si>
    <t>Off the coast of Libya</t>
  </si>
  <si>
    <t>CANARY ISLANDS REGION</t>
  </si>
  <si>
    <t>Off the coast of Western Sahara</t>
  </si>
  <si>
    <t>Werder Zone, Ethopia</t>
  </si>
  <si>
    <t>Off the coast of Madagascar</t>
  </si>
  <si>
    <t>Bara, Sudan</t>
  </si>
  <si>
    <t>WESTERN ARABIAN PENINSULA</t>
  </si>
  <si>
    <t>Red Sea</t>
  </si>
  <si>
    <t>Guerrah Et Tarf, Algeria</t>
  </si>
  <si>
    <t>Lolo Giris, Kebbi Nigeria</t>
  </si>
  <si>
    <t>Algeria</t>
  </si>
  <si>
    <t>OFF THE COAST OF SOUTH AFRICA</t>
  </si>
  <si>
    <t>Indian Ocean, Off the Coast of South Africa</t>
  </si>
  <si>
    <t>Off the Coast of Tunisia</t>
  </si>
  <si>
    <t>Rustenburg, South Africa</t>
  </si>
  <si>
    <t>Ad Damer, Nile</t>
  </si>
  <si>
    <t>Off the coast of Tanzania</t>
  </si>
  <si>
    <t>Souk Ahras Province, Algeria</t>
  </si>
  <si>
    <t>Cullinan, South Africa</t>
  </si>
  <si>
    <t>Off the coast of Egypt</t>
  </si>
  <si>
    <t>Tangayinka, Democratic Republic of Congo</t>
  </si>
  <si>
    <t>Naama Province, Algeria</t>
  </si>
  <si>
    <t>Menzel Bourguiba</t>
  </si>
  <si>
    <t>Kizilli Mahellesi, Turkey</t>
  </si>
  <si>
    <t>Off the Coast of South Africa, Indian Ocean</t>
  </si>
  <si>
    <t>Carletonville, 2499 South Africa</t>
  </si>
  <si>
    <t>Off the Coast of Liberia</t>
  </si>
  <si>
    <t>Fraserburg, South Africa</t>
  </si>
  <si>
    <t>Nioro, Mali</t>
  </si>
  <si>
    <t>Sankuru, Democratic Republic of Congo</t>
  </si>
  <si>
    <t>NORTH ATLANTIC OCEAN</t>
  </si>
  <si>
    <t>Off the coast of Mauritania</t>
  </si>
  <si>
    <t>Kuruman</t>
  </si>
  <si>
    <t>Mpumalanga</t>
  </si>
  <si>
    <t>North Sinai Governorate</t>
  </si>
  <si>
    <t>Danielskuil</t>
  </si>
  <si>
    <t>Lake Taganyika Region</t>
  </si>
  <si>
    <t>Daloa, Côte d'Ivoire</t>
  </si>
  <si>
    <t>Adrar Province</t>
  </si>
  <si>
    <t>Tanout, Niger</t>
  </si>
  <si>
    <t>Chlef Province</t>
  </si>
  <si>
    <t>Grand-Lahou, Côte d'Ivoire</t>
  </si>
  <si>
    <t>Sejenane</t>
  </si>
  <si>
    <t>Zastron</t>
  </si>
  <si>
    <t>Taourirt Province</t>
  </si>
  <si>
    <t>Standerton</t>
  </si>
  <si>
    <t>Bale,Burkina-Faso</t>
  </si>
  <si>
    <t>Asunafo North, Ghana</t>
  </si>
  <si>
    <t>Matutuíne District</t>
  </si>
  <si>
    <t>Off the coast of Nigeria</t>
  </si>
  <si>
    <t>Near Lake Veefonteinpan</t>
  </si>
  <si>
    <t>Klerksdrop, near the Werda Train station</t>
  </si>
  <si>
    <t>Sidi Mtir Mosque,Tejeroiune</t>
  </si>
  <si>
    <t>LAKE TANGANTIKA REGION</t>
  </si>
  <si>
    <t>Mpanda, Tanzania near the Mahale Mountain Park</t>
  </si>
  <si>
    <t>Near Abawdiem, Ashan ti Region, Ghana</t>
  </si>
  <si>
    <t>Qesm Al Wahat Ad Dakhlah
New Valley Governorate, Egypt</t>
  </si>
  <si>
    <t>Near Dan Sa, Tanout Niger</t>
  </si>
  <si>
    <t>Near Savuka Gold Mine, Carletonville</t>
  </si>
  <si>
    <t>Near  Leeupan  Guest Farm,Kalahari CBDC</t>
  </si>
  <si>
    <t xml:space="preserve">Near Wolberg Wilderness Area, Limpopo </t>
  </si>
  <si>
    <t>EASTERN GULF OF ADEN</t>
  </si>
  <si>
    <t>Off the coast of Somalia</t>
  </si>
  <si>
    <t>NORTHEASTERN SOMALIA</t>
  </si>
  <si>
    <t>Ishkuban, Somalia</t>
  </si>
  <si>
    <t>Calvinia, South Africa</t>
  </si>
  <si>
    <t>Near Raga Market, South Sudan</t>
  </si>
  <si>
    <t>Near Ovada Airport, Egypt</t>
  </si>
  <si>
    <t>Off the coast of Tunisia</t>
  </si>
  <si>
    <t>Near the Coast of Libya</t>
  </si>
  <si>
    <t>Near Funduq Dabbish, Tunisia</t>
  </si>
  <si>
    <t>Near Gope, Central Kalahari District, Botwsana</t>
  </si>
  <si>
    <t>Near Bodenga,  Democratic Republic of Congo</t>
  </si>
  <si>
    <t>Parys, Near the N1 Road, Renosterriver River, South Africa.</t>
  </si>
  <si>
    <t>Near Koro Toro, Chad</t>
  </si>
  <si>
    <t>Near the Palm Valley Resort, Ngwerere</t>
  </si>
  <si>
    <t>Near Araouane, Mali</t>
  </si>
  <si>
    <t>Near Parque Nacional do Iona, Angola</t>
  </si>
  <si>
    <t>About 5km away from Biesiefontein, South Africa</t>
  </si>
  <si>
    <t>Near the Willows, South Africa</t>
  </si>
  <si>
    <t>Near Raubeinham, South Africa</t>
  </si>
  <si>
    <t>In the Mala Mala Game Reserve, near Dumphries, Sand River, South Africa.</t>
  </si>
  <si>
    <t>Near Sombo, Angola</t>
  </si>
  <si>
    <t>Near Toumodi, Cote D'Ivoire</t>
  </si>
  <si>
    <t>Near Baki Catholic Church, Nigeria</t>
  </si>
  <si>
    <t>Abud Wuk, Somalia</t>
  </si>
  <si>
    <t>RED SEA</t>
  </si>
  <si>
    <t>In the Red Sea, Near Elba Park, Egypt.</t>
  </si>
  <si>
    <t>Near Rotian, Kenya</t>
  </si>
  <si>
    <t>36.8267.</t>
  </si>
  <si>
    <t>Kiambu, Near Mwandus, Kenya.</t>
  </si>
  <si>
    <t>Near Matwembe, Tanzania</t>
  </si>
  <si>
    <t>Cara, Egypt</t>
  </si>
  <si>
    <t>Mado Gashi, Kenya</t>
  </si>
  <si>
    <t>Parc Nationale de  Marahoue,Cote D'Ivoire</t>
  </si>
  <si>
    <t>El Beida, Algeria</t>
  </si>
  <si>
    <t>Goumori, Benin</t>
  </si>
  <si>
    <t>Hassi R'Mel,Algeria</t>
  </si>
  <si>
    <t>NORTH INDIAN OCEAN</t>
  </si>
  <si>
    <t>Coast of Madagascar</t>
  </si>
  <si>
    <t>Orania. South Africa</t>
  </si>
  <si>
    <t>Groumania, Cote D'Ivoire</t>
  </si>
  <si>
    <t>Gague, Cote D'Ivoire</t>
  </si>
  <si>
    <t>Massabougou, Mali</t>
  </si>
  <si>
    <t>Cornelia, Freestate, South Africa</t>
  </si>
  <si>
    <t>CARLSBERG RIDGE</t>
  </si>
  <si>
    <t>Near Karreeputs, South Africa</t>
  </si>
  <si>
    <t>Near Lake Natron, Tanzania</t>
  </si>
  <si>
    <t>Near Wanzarik, Libya</t>
  </si>
  <si>
    <t>OFF S.COAST OF NORTHWEST AFRICA</t>
  </si>
  <si>
    <t>Near Lone Creek Falls, South Africa</t>
  </si>
  <si>
    <t>Off the Coast of Guinea</t>
  </si>
  <si>
    <t>Off the Coast of Guinea- Bissau</t>
  </si>
  <si>
    <t>Near Guedeyo I, Cote d'Ivoire</t>
  </si>
  <si>
    <t>Near Finetown, South Africa</t>
  </si>
  <si>
    <t>Near Mado Gashi, Kenya</t>
  </si>
  <si>
    <t>Near Sinfra, Cote d'Ivoire</t>
  </si>
  <si>
    <t>Bayelsa National Forest, Nigeria</t>
  </si>
  <si>
    <t>Lake Victoria, Kenya</t>
  </si>
  <si>
    <t>S. COAST OF NORTHWEST AFRICA</t>
  </si>
  <si>
    <t>STRAIT OF GIBRALTAR</t>
  </si>
  <si>
    <t>Dar El Kadbani, Morrocco</t>
  </si>
  <si>
    <t>Near Nofou, Cote d'Ivoire</t>
  </si>
  <si>
    <t>Banidyoumbo, Niger</t>
  </si>
  <si>
    <t>Salahley,Somalia</t>
  </si>
  <si>
    <t>Near Ouallam, Niger</t>
  </si>
  <si>
    <t>Near Twalu Game Reserve, South Africa</t>
  </si>
  <si>
    <t>Near Souk Ahras, Algeria</t>
  </si>
  <si>
    <t>Near the Tago Vaal Dam, South Africa</t>
  </si>
  <si>
    <t>Near the Leeuplaas Vaaldam, South Africa</t>
  </si>
  <si>
    <t>Near El Qasr, Egypt</t>
  </si>
  <si>
    <t>Near Walungu, Democratic Republic of Congo.</t>
  </si>
  <si>
    <t>Near Ham, Chad</t>
  </si>
  <si>
    <t>Near Faraba, Mali</t>
  </si>
  <si>
    <t>Near Bogrenyoa, Cote D'Ivoire</t>
  </si>
  <si>
    <t>Near Frankfort, South Africa</t>
  </si>
  <si>
    <t>Off the Coast of Mankara, Madagascar</t>
  </si>
  <si>
    <t>Near Kizogo Game Reserve, Tanzania</t>
  </si>
  <si>
    <t>LAKE TANGAYIKA REGION</t>
  </si>
  <si>
    <t>Near the Kahuzi-Biega National Park,Irega,  Democratic Republic of Congo</t>
  </si>
  <si>
    <t>Near Mgeta, Tanzania</t>
  </si>
  <si>
    <t>Near Tazirbu, Libya</t>
  </si>
  <si>
    <t>Near Maboloka, South Africa</t>
  </si>
  <si>
    <t>Near Tourine, Mauritania</t>
  </si>
  <si>
    <t>Near Itiso, Tanzania</t>
  </si>
  <si>
    <t>Near Buyankiri, Kahuzi-Biega National Park, Democratic Republic of Congo</t>
  </si>
  <si>
    <t>Near Chemama,Morocco</t>
  </si>
  <si>
    <t>Near Liptougou, Burkina Faso</t>
  </si>
  <si>
    <t>Near Esabulu, Kenya</t>
  </si>
  <si>
    <t>Near Soutpan, South Africa</t>
  </si>
  <si>
    <t>Near Boshof, South Africa</t>
  </si>
  <si>
    <t>Near Prens se Pan Lake, South Africa</t>
  </si>
  <si>
    <t>Near Theunissen, South Africa</t>
  </si>
  <si>
    <t>Near Groot Kais, Namibia</t>
  </si>
  <si>
    <t>Near Tomare, Niger</t>
  </si>
  <si>
    <t>Near Gacogu, Kenya</t>
  </si>
  <si>
    <t>Near Langkloof, South Africa</t>
  </si>
  <si>
    <t>Near Abdlmola, Algeria</t>
  </si>
  <si>
    <t>Near Al-Jawf, Libya</t>
  </si>
  <si>
    <t>Near Ksar el Hirane, Algeria</t>
  </si>
  <si>
    <t>Off the Coast of Senegal</t>
  </si>
  <si>
    <t>Off the coast of Morocco</t>
  </si>
  <si>
    <t>Near Akoupe, Cote D'Ivoire</t>
  </si>
  <si>
    <t>Near Gorou, Niger</t>
  </si>
  <si>
    <t>WESTERN MEDITERRANEAN SEA</t>
  </si>
  <si>
    <t>Off the coast of Algeria</t>
  </si>
  <si>
    <t>Near Barseba, South Africa</t>
  </si>
  <si>
    <t>Near the Parc national culturel de l'Ahaggar</t>
  </si>
  <si>
    <t>Near Uqaylah, Libya</t>
  </si>
  <si>
    <t>Near Stofberg, South Africa</t>
  </si>
  <si>
    <t>Near Bani, Burkina Faso</t>
  </si>
  <si>
    <t>Near the Bloemhof Dam Nature Reserve, South Africa</t>
  </si>
  <si>
    <t>Near Brandfort, South Africa</t>
  </si>
  <si>
    <t>Near Sibanye Stillwater Driefontein mine 8 shaft, South Africa</t>
  </si>
  <si>
    <t>Near Calvina, South Africa</t>
  </si>
  <si>
    <t>Near Ololaimutiek Village, Kenya</t>
  </si>
  <si>
    <t>Near Farafra, Egypt</t>
  </si>
  <si>
    <t>Near Xagar, Somalia</t>
  </si>
  <si>
    <t>Off the Coast of Ghana</t>
  </si>
  <si>
    <t>Near Oleander Park,URANIAVILLE, South Africa</t>
  </si>
  <si>
    <t>Near Serengeti National Park, Tanzania</t>
  </si>
  <si>
    <t>Near Botshabelo- F, South Africa</t>
  </si>
  <si>
    <t>Near Glenmile, South Africa</t>
  </si>
  <si>
    <t>Near Tonka, Mali</t>
  </si>
  <si>
    <t>Near Trompsburg, South Africa</t>
  </si>
  <si>
    <t>Near Aligaga, Burkina Faso</t>
  </si>
  <si>
    <t>Near Kossandji, Cote d'Ivoire</t>
  </si>
  <si>
    <t xml:space="preserve">TUNISIA </t>
  </si>
  <si>
    <t>Near Bou-Hedma Nationla Park, Tunisia</t>
  </si>
  <si>
    <t>Near Gao, Mali</t>
  </si>
  <si>
    <t>Near Yenicearmutcuk, Turkey</t>
  </si>
  <si>
    <t>Near Brizeboua, Cote D'Ivoire</t>
  </si>
  <si>
    <t>Off the coast of the Western Sahara</t>
  </si>
  <si>
    <t>Near Delmas, South Africa</t>
  </si>
  <si>
    <t>Near Toukaber, Tunisia</t>
  </si>
  <si>
    <t>Lake Tanganyika,Democractic Republic of Congo</t>
  </si>
  <si>
    <t>Near Dobo, Chad</t>
  </si>
  <si>
    <t>Near Zueoula, Cote D'Ivoire</t>
  </si>
  <si>
    <t>Near Araouane,Mali</t>
  </si>
  <si>
    <t>Near Gombara, Niger</t>
  </si>
  <si>
    <t>Near Caledon Nature Reserve, South Africa</t>
  </si>
  <si>
    <t>Off the coast of Mozambique</t>
  </si>
  <si>
    <t>Near Mgheirinat, Mauritania</t>
  </si>
  <si>
    <t>Near Luckhof, South Africa</t>
  </si>
  <si>
    <t>Near Megou, Mali</t>
  </si>
  <si>
    <t>Near Biadha, Tunisia</t>
  </si>
  <si>
    <t>Near Tatori, Niger</t>
  </si>
  <si>
    <t>Off the coast of Gaza, Egypt</t>
  </si>
  <si>
    <t>Near Djado Plateau, Niger</t>
  </si>
  <si>
    <t>Near Hassi Messaoud, Algeria</t>
  </si>
  <si>
    <t>Near Leandra, South Africa</t>
  </si>
  <si>
    <t>Near Emi Koussi Mountain, Chad</t>
  </si>
  <si>
    <t>Near Fochville, South Africa</t>
  </si>
  <si>
    <t>Near Dahan, Somalia</t>
  </si>
  <si>
    <t>Near Ourir, Algeria</t>
  </si>
  <si>
    <t>Near Bi'r al Wa'ir, Libya</t>
  </si>
  <si>
    <t>Off the coast of South Africa</t>
  </si>
  <si>
    <t>Off the coast of Port Elizabeth, South Africa</t>
  </si>
  <si>
    <t>Near Tibil, Niger</t>
  </si>
  <si>
    <t>Near Outat el Haj, Morocco</t>
  </si>
  <si>
    <t>Parc National de la Lomami, Democratic Republic of Congo</t>
  </si>
  <si>
    <t>Off the coast of Luanda, Angola</t>
  </si>
  <si>
    <t>Near Reggane, Algeria</t>
  </si>
  <si>
    <t>Near Singou Reserve, Burkina Faso</t>
  </si>
  <si>
    <t>LAKE TANGANYIKA</t>
  </si>
  <si>
    <t>Near Maga, DR Congo</t>
  </si>
  <si>
    <t>Near Hadjout, Algeria</t>
  </si>
  <si>
    <t>Off the coast of El Marsa, Algeria</t>
  </si>
  <si>
    <t>Near Farje, Niger</t>
  </si>
  <si>
    <t>Near Tsavo West National Park, Kenya</t>
  </si>
  <si>
    <t>Near Tooseng, South Africa</t>
  </si>
  <si>
    <t>Near Faraba, Cote D'Ivoire</t>
  </si>
  <si>
    <t>Near Oranjeville, South Africa</t>
  </si>
  <si>
    <t>Near Tabelot, Niger</t>
  </si>
  <si>
    <t>Near Fouga, Burkina Faso</t>
  </si>
  <si>
    <t>Near Ngare Ndare, Kenya</t>
  </si>
  <si>
    <t>Near Khuma, South Africa</t>
  </si>
  <si>
    <t xml:space="preserve">Ikorongo Game Reserve, </t>
  </si>
  <si>
    <t>Near Manfala, Mali</t>
  </si>
  <si>
    <t>Near Kerena,Mali</t>
  </si>
  <si>
    <t>Near Koppie Dam Nature Reserve, South Africa</t>
  </si>
  <si>
    <t>Sirte Ddistrict, Libya</t>
  </si>
  <si>
    <t>Near Zmalet El Emir Abdelkader, Algeria</t>
  </si>
  <si>
    <t>Timokten, Algeria</t>
  </si>
  <si>
    <t>Near Irega, Democratic Republic of Congo</t>
  </si>
  <si>
    <t>Mount Suswa Conservacy, Kenya</t>
  </si>
  <si>
    <t>Near Bouta, Mali</t>
  </si>
  <si>
    <t>Near Ismailia, Egpyt</t>
  </si>
  <si>
    <t>Near Tera, Niger</t>
  </si>
  <si>
    <t>Boon, South Africa</t>
  </si>
  <si>
    <t>Reserve Partielle de Faunce D'Asongo Menake, Mali</t>
  </si>
  <si>
    <t>Near Tichit, Mauritania</t>
  </si>
  <si>
    <t>Off the Coast of Mohammedia, Morocco</t>
  </si>
  <si>
    <t>Adansi South, Near Krodua, Ashanti Region, Ghana</t>
  </si>
  <si>
    <t>Near Tama, Sierra Leone</t>
  </si>
  <si>
    <t>Near Wonderkrater Vakansiedorp, South Africa</t>
  </si>
  <si>
    <t>Bir Mohgrein, Mauritania</t>
  </si>
  <si>
    <t>Near Kokou, Burkina Faso</t>
  </si>
  <si>
    <t>Gulf of Aqaba, Near Nuweibaa,Egypt</t>
  </si>
  <si>
    <t>Small Heaven Amusement Park, South Africa</t>
  </si>
  <si>
    <t>Tifanti, Western Sahara</t>
  </si>
  <si>
    <t>Guju, South Sudan</t>
  </si>
  <si>
    <t>Sidi Makhlouf, Algeria</t>
  </si>
  <si>
    <t>Adrar, Algeria</t>
  </si>
  <si>
    <t>Sissala East, Kasapouli, Ghana</t>
  </si>
  <si>
    <t>Qatrun,Libya</t>
  </si>
  <si>
    <t>Zouerat, Mauritania</t>
  </si>
  <si>
    <t>Congo River</t>
  </si>
  <si>
    <t>Chirfa, Niger</t>
  </si>
  <si>
    <t>Petrusberg, South Africa</t>
  </si>
  <si>
    <t>Casuta, Angola</t>
  </si>
  <si>
    <t>Middelburg, South Africa</t>
  </si>
  <si>
    <t>Oultem, Algeria</t>
  </si>
  <si>
    <t>Near Fachi, Niger</t>
  </si>
  <si>
    <t>Near Milanga, Democratic Republic of Congo</t>
  </si>
  <si>
    <t>Wa East, Near Mole National Park, Ghana</t>
  </si>
  <si>
    <t>Near Kalbasfontein, South Africa</t>
  </si>
  <si>
    <t>Near Klipriviersoog, South Africa</t>
  </si>
  <si>
    <t>Near Bordj Badji Mokhtar, Algeria</t>
  </si>
  <si>
    <t>Near Bazai, Cote D'Ivoire</t>
  </si>
  <si>
    <t>Near Relizane, Algeria</t>
  </si>
  <si>
    <t>Dile, Chad</t>
  </si>
  <si>
    <t>Almour, Chad</t>
  </si>
  <si>
    <t>Saoula, Cote D'Ivoire</t>
  </si>
  <si>
    <t>Ounianga, Chad</t>
  </si>
  <si>
    <t>Dinde, Mali</t>
  </si>
  <si>
    <t>Wilbart, South Africa</t>
  </si>
  <si>
    <t>El Naya, Sudan</t>
  </si>
  <si>
    <t>Orgaff, Cote D'Ivoire</t>
  </si>
  <si>
    <t>Near Timiaouine, Algeria</t>
  </si>
  <si>
    <t>Near Ash Shywayrif, Libya</t>
  </si>
  <si>
    <t>Near Mangaize, Niger</t>
  </si>
  <si>
    <t>Near Fada, Chad</t>
  </si>
  <si>
    <t>Near Makwassie, South Africa</t>
  </si>
  <si>
    <t>Mount Kenya National Park, Kenya</t>
  </si>
  <si>
    <t>Andohahela National Park, Madagascar</t>
  </si>
  <si>
    <t>Near Man, Cote D'Ivoire</t>
  </si>
  <si>
    <t>Namaro, Niger</t>
  </si>
  <si>
    <t>Moeka, South Africa</t>
  </si>
  <si>
    <t>CENTRAL AFRICAN REPUBLIC</t>
  </si>
  <si>
    <t>Dekoa, Central Africa Republic</t>
  </si>
  <si>
    <t>Mohamed Bouhiaf, Algeria</t>
  </si>
  <si>
    <t>Off the Coast of Maputo, Mozambique</t>
  </si>
  <si>
    <t>Manovo-Gounda-Saint Floris National Park, Central African Republic</t>
  </si>
  <si>
    <t>Zangue, Cote D'Ivoire</t>
  </si>
  <si>
    <t>Near Jbair, Morocco</t>
  </si>
  <si>
    <t>Near Rustfontein Nature Reserve</t>
  </si>
  <si>
    <t>Near Taghit, Algeria</t>
  </si>
  <si>
    <t>Degeh Bur, Ethopia</t>
  </si>
  <si>
    <t>Karai Rurii, Kenya</t>
  </si>
  <si>
    <t>Near Molopoo Nature Reserve, South Africa</t>
  </si>
  <si>
    <t>Oranjeville, South Africa</t>
  </si>
  <si>
    <t>Sakiiet Ezzit, Tunisia</t>
  </si>
  <si>
    <t>Marydale, South Africa</t>
  </si>
  <si>
    <t>Harrismith, South Africa</t>
  </si>
  <si>
    <t>Arrah, Cote D'Ivoire</t>
  </si>
  <si>
    <t>Limuru Town, Kenya</t>
  </si>
  <si>
    <t>Ouled Tlijane, Tunisia</t>
  </si>
  <si>
    <t>Looto, Democratic Republic of Congo</t>
  </si>
  <si>
    <t>Bukama, Democratic Republic of Congo</t>
  </si>
  <si>
    <t>Satco, Namibia</t>
  </si>
  <si>
    <t>Mekro, Cote D'Ivoire</t>
  </si>
  <si>
    <t>Brega, Off the coast of Libya</t>
  </si>
  <si>
    <t>Bia River, Cote D'Ivoire</t>
  </si>
  <si>
    <t>Kadia, Democratic Republic of Congo</t>
  </si>
  <si>
    <t>NORTHEN ALGERIA</t>
  </si>
  <si>
    <t>El Berdia, Algeria</t>
  </si>
  <si>
    <t>Bossongri, Burkina Faso</t>
  </si>
  <si>
    <t>Koppies, South Africa</t>
  </si>
  <si>
    <t>Sarekali, Guinea</t>
  </si>
  <si>
    <t>Cokonyane, South Africa</t>
  </si>
  <si>
    <t>Kabogi, Nigeria</t>
  </si>
  <si>
    <t>Affrey, Cote D'Ivoire</t>
  </si>
  <si>
    <t>Niakro, Cote D'Ivoire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</si>
  <si>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</si>
  <si>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Kossandji, Cote D'Ivoire</t>
  </si>
  <si>
    <t>Wongo National Park, Mali</t>
  </si>
  <si>
    <t>Gate Seventy, Petrol Road, Egypt</t>
  </si>
  <si>
    <t>Ouadane, Mauritania</t>
  </si>
  <si>
    <t>Badikaha, Cote D'Ivoire</t>
  </si>
  <si>
    <t>Vaal River, South Africa</t>
  </si>
  <si>
    <t>Lac Fetzara, Algeria</t>
  </si>
  <si>
    <t>Madama, Niger</t>
  </si>
  <si>
    <t>Pafuri, Mozambique</t>
  </si>
  <si>
    <t>Kiabo, Democratic Republic of Congo</t>
  </si>
  <si>
    <t>Kenitra, Off the coast of Morocco</t>
  </si>
  <si>
    <t>Fochville, South Africa</t>
  </si>
  <si>
    <t>Mabotsha, Republic of South Africa</t>
  </si>
  <si>
    <t>Near Boshof, Republic of South Africa</t>
  </si>
  <si>
    <t>Tzaneen Airfield, Republic of South Africa</t>
  </si>
  <si>
    <t>Diomboya, Guinea</t>
  </si>
  <si>
    <t>Singdin, Burkina Faso</t>
  </si>
  <si>
    <t>Dahouara, Algeria</t>
  </si>
  <si>
    <t>off the coast of Libya</t>
  </si>
  <si>
    <t>Douar Baghdad, Algeria</t>
  </si>
  <si>
    <t>Thabasikwa, South Africa</t>
  </si>
  <si>
    <t>Off S. COAST OF NORTHWEST AFRICA</t>
  </si>
  <si>
    <t>Welteverde, South Africa</t>
  </si>
  <si>
    <t>Benoud, Algeria</t>
  </si>
  <si>
    <t>Samba Bile, Senegal</t>
  </si>
  <si>
    <t>Kollo,Niger</t>
  </si>
  <si>
    <t>Bultfontein, South Africa</t>
  </si>
  <si>
    <t>Sebkel el Melah Lake, South Africa</t>
  </si>
  <si>
    <t>Samara, Western Sahara</t>
  </si>
  <si>
    <t>Borakalalo National Park, South Africa</t>
  </si>
  <si>
    <t>Mopoyeme, Cote D'Ivoire</t>
  </si>
  <si>
    <t>Tissint, Morocco</t>
  </si>
  <si>
    <t>Mayosso Wildlife Sanctuary, Sierra Leone</t>
  </si>
  <si>
    <t>Near Small Heaven, South Africa</t>
  </si>
  <si>
    <t>Near Zantiebougou, Mali</t>
  </si>
  <si>
    <t>Near Taoudenni, Mali</t>
  </si>
  <si>
    <t>Bouafle, Cote D'Ivoire</t>
  </si>
  <si>
    <t>Keniebaoule Reserve, Mali</t>
  </si>
  <si>
    <t>Mikumi National Park, Tanzania</t>
  </si>
  <si>
    <t>MOROCO</t>
  </si>
  <si>
    <t>Lakhoualqa, Morocco</t>
  </si>
  <si>
    <t>Kakambi, Zambia</t>
  </si>
  <si>
    <t>Basi,  Cote D'Ivoire</t>
  </si>
  <si>
    <t>Al Ayati, Tunisia</t>
  </si>
  <si>
    <t>Tieme, Cote D'Ivoire</t>
  </si>
  <si>
    <t>Ntyuka, Tanzania</t>
  </si>
  <si>
    <t>Bir Zar, Tunisia</t>
  </si>
  <si>
    <t>Off the coast of Guinea</t>
  </si>
  <si>
    <t>Chaffar, Tunisia</t>
  </si>
  <si>
    <t>Melkboom, Republic of South Africa</t>
  </si>
  <si>
    <t>Garawlah, Egypt</t>
  </si>
  <si>
    <t>Ash Shwayrif, Libya</t>
  </si>
  <si>
    <t>Biebi, Cote D'Ivoire</t>
  </si>
  <si>
    <t>Morire, Mozambique</t>
  </si>
  <si>
    <t>Gutu, Zimbabwe</t>
  </si>
  <si>
    <t>Galimote, Mozambique</t>
  </si>
  <si>
    <t>Tshikulika, Democractic Republic of the Congo</t>
  </si>
  <si>
    <t>El Hagounia, Western Sahara</t>
  </si>
  <si>
    <t>Djeniene Bourezg, Algeria</t>
  </si>
  <si>
    <t>Taboue, Cote D'Ivoire</t>
  </si>
  <si>
    <t>Schweuzer-Reneke, South Africa</t>
  </si>
  <si>
    <t>Rurum, Nigeria</t>
  </si>
  <si>
    <t>Mathopestad, South Africa</t>
  </si>
  <si>
    <t>Foggaret ez Zoua, Algeria</t>
  </si>
  <si>
    <t>Djiliki, Niger</t>
  </si>
  <si>
    <t>Reddersburg, South Africa</t>
  </si>
  <si>
    <t>MariteA, South Africa</t>
  </si>
  <si>
    <t>Bissao, Niger</t>
  </si>
  <si>
    <t>Petanenge, South Africa</t>
  </si>
  <si>
    <t>Palmwag, Namibia</t>
  </si>
  <si>
    <t>Hekpoort, South Africa</t>
  </si>
  <si>
    <t>Marina El Alamein, Egypt</t>
  </si>
  <si>
    <t>EQUATORIAL GUINEA</t>
  </si>
  <si>
    <t>Cogo</t>
  </si>
  <si>
    <t>Taza Province</t>
  </si>
  <si>
    <t>Bia</t>
  </si>
  <si>
    <t>Menzel Chaker</t>
  </si>
  <si>
    <t>Nguigmi</t>
  </si>
  <si>
    <t>Omusati Region</t>
  </si>
  <si>
    <t>Milange</t>
  </si>
  <si>
    <t>SENEGAL</t>
  </si>
  <si>
    <t>Tivaouane</t>
  </si>
  <si>
    <t>Potchefstroom</t>
  </si>
  <si>
    <t>Bothaville</t>
  </si>
  <si>
    <t>IVORY COAST</t>
  </si>
  <si>
    <t>Bocanda</t>
  </si>
  <si>
    <t>Issia</t>
  </si>
  <si>
    <t>San-Pédro Region</t>
  </si>
  <si>
    <t>Khula Village</t>
  </si>
  <si>
    <t>Bethlehem</t>
  </si>
  <si>
    <t>Welkom</t>
  </si>
  <si>
    <t>Sud-Bandama</t>
  </si>
  <si>
    <t>Béni Mellal-Khenifra</t>
  </si>
  <si>
    <t>Inongo</t>
  </si>
  <si>
    <t>Dendron</t>
  </si>
  <si>
    <t>Province de Tinghir</t>
  </si>
  <si>
    <t>GHANA</t>
  </si>
  <si>
    <t>Wasa Amenfi East</t>
  </si>
  <si>
    <t>Vryburg</t>
  </si>
  <si>
    <t>Afar Zone 2</t>
  </si>
  <si>
    <t>Bouaké</t>
  </si>
  <si>
    <t>Ventersdorp</t>
  </si>
  <si>
    <t>Bongouanou</t>
  </si>
  <si>
    <t>Nefza</t>
  </si>
  <si>
    <t>LIBERIA</t>
  </si>
  <si>
    <t>Jo River</t>
  </si>
  <si>
    <t>ATSA</t>
  </si>
  <si>
    <t>Balfour</t>
  </si>
  <si>
    <t>BURKINA FASO</t>
  </si>
  <si>
    <t>Gnagna</t>
  </si>
  <si>
    <t>Le Bassin</t>
  </si>
  <si>
    <t>Boshof</t>
  </si>
  <si>
    <t>Lagune Ebrié</t>
  </si>
  <si>
    <t>Dabou</t>
  </si>
  <si>
    <t>Abengourou</t>
  </si>
  <si>
    <t>Tera</t>
  </si>
  <si>
    <t>Oualata</t>
  </si>
  <si>
    <t>Groblersdal</t>
  </si>
  <si>
    <t>Al Wahat District</t>
  </si>
  <si>
    <t>Parys</t>
  </si>
  <si>
    <t>Lebowakgomo</t>
  </si>
  <si>
    <t>Atar</t>
  </si>
  <si>
    <t>Tambacounda</t>
  </si>
  <si>
    <t>Quthing</t>
  </si>
  <si>
    <t>Arlit</t>
  </si>
  <si>
    <t>Volksrust</t>
  </si>
  <si>
    <t>Kairouan</t>
  </si>
  <si>
    <t>Lakota</t>
  </si>
  <si>
    <t>Reggane</t>
  </si>
  <si>
    <t>Salé-Balékro</t>
  </si>
  <si>
    <t>Aberdeen Plain</t>
  </si>
  <si>
    <t>Wadi al Hayaa District</t>
  </si>
  <si>
    <t>Midvaal Local Municipality</t>
  </si>
  <si>
    <t>Kadiogo</t>
  </si>
  <si>
    <t>Hopetown</t>
  </si>
  <si>
    <t>Oume</t>
  </si>
  <si>
    <t>Laikipia County</t>
  </si>
  <si>
    <t>Bole</t>
  </si>
  <si>
    <t>MALI</t>
  </si>
  <si>
    <t>Baraoueli</t>
  </si>
  <si>
    <t>Sirte District</t>
  </si>
  <si>
    <t>Dosso</t>
  </si>
  <si>
    <t>Koster</t>
  </si>
  <si>
    <t>Cahora-Bassa</t>
  </si>
  <si>
    <t>Khenchela Province</t>
  </si>
  <si>
    <t>Sfax Sud</t>
  </si>
  <si>
    <t>Shendi</t>
  </si>
  <si>
    <t>Daoukro</t>
  </si>
  <si>
    <t>Markaz El-Hamam</t>
  </si>
  <si>
    <t>Beounm</t>
  </si>
  <si>
    <t>Breede River DC</t>
  </si>
  <si>
    <t>Bam</t>
  </si>
  <si>
    <t>Yanfolila</t>
  </si>
  <si>
    <t>Reivilo</t>
  </si>
  <si>
    <t>Zuenoula</t>
  </si>
  <si>
    <t>Sikasso</t>
  </si>
  <si>
    <t>Tombouctou</t>
  </si>
  <si>
    <t>Orkney</t>
  </si>
  <si>
    <t>Tejerouine</t>
  </si>
  <si>
    <t>Tibesti</t>
  </si>
  <si>
    <t>Kokstad</t>
  </si>
  <si>
    <t>Ain Torki, Algeria</t>
  </si>
  <si>
    <t>Fernanah, Tunisia</t>
  </si>
  <si>
    <t>Bulfontein, South Africa</t>
  </si>
  <si>
    <t>Yagha, Burkina Faso</t>
  </si>
  <si>
    <t>Qesm Al Wahat Dakhlah, New Valley Governate, Egypt</t>
  </si>
  <si>
    <t>Kimmel, Algeria</t>
  </si>
  <si>
    <t>Bouboury, Cote D'Ivoire</t>
  </si>
  <si>
    <t>Zinzenou, Cote D'Ivoire</t>
  </si>
  <si>
    <t>Abala, Niger</t>
  </si>
  <si>
    <t>Ebikro, Cote D'Ivoire</t>
  </si>
  <si>
    <t>Mijiek, Western Sahara</t>
  </si>
  <si>
    <t>Near Lake Malawi</t>
  </si>
  <si>
    <t>W du Burkina Faso Natoional Park</t>
  </si>
  <si>
    <t>Metorica, Mozambique</t>
  </si>
  <si>
    <t>Zurmuku, Nigeria</t>
  </si>
  <si>
    <t>Soetdoring Nature Reserve, South Africa</t>
  </si>
  <si>
    <t>Marhoum, Algeria</t>
  </si>
  <si>
    <t>Off the coastof Liberia</t>
  </si>
  <si>
    <t>Bloukop, South Africa</t>
  </si>
  <si>
    <t>Bakeyo, Cote D'Ivoire</t>
  </si>
  <si>
    <t>Seyou, Cote D'Ivoire</t>
  </si>
  <si>
    <t>Hartbeesfontein, South Africa</t>
  </si>
  <si>
    <t>Koppie Allen Train Station, South Africa</t>
  </si>
  <si>
    <t>Zehiri, Cote D'Ivoire</t>
  </si>
  <si>
    <t>Babien, Cote D'Ivoire</t>
  </si>
  <si>
    <t>Naâma Province</t>
  </si>
  <si>
    <t>Kollo</t>
  </si>
  <si>
    <t>WESTERN SAHARA</t>
  </si>
  <si>
    <t>Tichla</t>
  </si>
  <si>
    <t>Tata Province</t>
  </si>
  <si>
    <t>Tapoa</t>
  </si>
  <si>
    <t>Evaton</t>
  </si>
  <si>
    <t>Chichaoua</t>
  </si>
  <si>
    <t>BENIN</t>
  </si>
  <si>
    <t>Karimama</t>
  </si>
  <si>
    <t>Rustenburg</t>
  </si>
  <si>
    <t>NIGERIA</t>
  </si>
  <si>
    <t>Sabi Gana II</t>
  </si>
  <si>
    <t>Oum El Assel</t>
  </si>
  <si>
    <t>Mijek</t>
  </si>
  <si>
    <t>Villiers</t>
  </si>
  <si>
    <t>Toumodi</t>
  </si>
  <si>
    <t>Victoria West</t>
  </si>
  <si>
    <t>Agouaye, Cote D'Ivoire</t>
  </si>
  <si>
    <t>Krokro, Cote D'Ivoire</t>
  </si>
  <si>
    <t>Bokora Wildlife Reserve, Uganda</t>
  </si>
  <si>
    <t>Gbomi Kondeyaokro, Cote D'Ivoire</t>
  </si>
  <si>
    <t>Agounit,Western Sahara</t>
  </si>
  <si>
    <t>Moheli Marine Park</t>
  </si>
  <si>
    <t>Mayotte</t>
  </si>
  <si>
    <t>Hoewe 175 Bultfontein, South Africa</t>
  </si>
  <si>
    <t>Babonga, Burkina Faso</t>
  </si>
  <si>
    <t>Off the coast of Mayotte</t>
  </si>
  <si>
    <t>Deelkral, South Africa</t>
  </si>
  <si>
    <t>Petrusburg, South Africa</t>
  </si>
  <si>
    <t>Kahel, Burkina Faso</t>
  </si>
  <si>
    <t>Wabi Game Ranch, Namibia</t>
  </si>
  <si>
    <t>Gerkawa, Nigeria</t>
  </si>
  <si>
    <t>Zagoreta, Cote D'Ivoire</t>
  </si>
  <si>
    <t>Chirongui, Mayotte</t>
  </si>
  <si>
    <t>Mazzouna</t>
  </si>
  <si>
    <t>Tana River County</t>
  </si>
  <si>
    <t>Bo Karoo</t>
  </si>
  <si>
    <t>Al Farafrah</t>
  </si>
  <si>
    <t>Goundam, Mali</t>
  </si>
  <si>
    <t>Tébessa Province</t>
  </si>
  <si>
    <t>Gagnoa, Ivory Coast</t>
  </si>
  <si>
    <t>Kunene Region</t>
  </si>
  <si>
    <t>Klipfontein</t>
  </si>
  <si>
    <t>Issia, Ivory Coast</t>
  </si>
  <si>
    <t>Ghardaia Province</t>
  </si>
  <si>
    <t>Béchar Province</t>
  </si>
  <si>
    <t>Badplaas</t>
  </si>
  <si>
    <t>Jijiga</t>
  </si>
  <si>
    <t>Haïdra</t>
  </si>
  <si>
    <t>Kalaa Senan</t>
  </si>
  <si>
    <t>Wolmaransstad</t>
  </si>
  <si>
    <t>Near Mayotte</t>
  </si>
  <si>
    <t>Near Pamanzi</t>
  </si>
  <si>
    <t>Near Akabli,Algeria</t>
  </si>
  <si>
    <t>Near Mozambique</t>
  </si>
  <si>
    <t>Near Sfax,Tunisia</t>
  </si>
  <si>
    <t>Near Madirovalo,Madagascar</t>
  </si>
  <si>
    <t>NORTHWEST OF AFRICA</t>
  </si>
  <si>
    <t>Near Debrimou, Cote D'Ivoire</t>
  </si>
  <si>
    <t>Near Kanikeli,Mayotte</t>
  </si>
  <si>
    <t>Near Welkom, South Africa</t>
  </si>
  <si>
    <t>Near Somo,Mali</t>
  </si>
  <si>
    <t>Near Nidrou,Cote D'Ivoire</t>
  </si>
  <si>
    <t>Near Chirongui,Mayotte</t>
  </si>
  <si>
    <t>Near Domoney,Comoros</t>
  </si>
  <si>
    <t>Near Mahazoma,Madagascar</t>
  </si>
  <si>
    <t>Near Ambodinonoka,Madagascar</t>
  </si>
  <si>
    <t>M'guiden, Algeria</t>
  </si>
  <si>
    <t>Ras el Ma, Algeria</t>
  </si>
  <si>
    <t>Near Lubwe, Zambia</t>
  </si>
  <si>
    <t>Near Reivilo , South Africa</t>
  </si>
  <si>
    <t>Near Gebe , Cote D'Ivoire</t>
  </si>
  <si>
    <t>Near Toulal,Morocco</t>
  </si>
  <si>
    <t>Near Anoual,Morocco</t>
  </si>
  <si>
    <t>Near Tyena,Burkina Faso</t>
  </si>
  <si>
    <t>Near Sidi Salah,Tunisia</t>
  </si>
  <si>
    <t>Near Olifantshoek, South Africa</t>
  </si>
  <si>
    <t>Near Mazunga, Zimbabwe</t>
  </si>
  <si>
    <t>Off the coast of Comoros</t>
  </si>
  <si>
    <t xml:space="preserve">MOZAMBIQUE </t>
  </si>
  <si>
    <t>Near Bilibiza,Mozambique</t>
  </si>
  <si>
    <t>Near Vierfontein,South Africa</t>
  </si>
  <si>
    <t>Near Basi, Cote D'Ivoire</t>
  </si>
  <si>
    <t>Near Koffiefontein, South Africa</t>
  </si>
  <si>
    <t>Near Aouzou, Chad</t>
  </si>
  <si>
    <t>400.0f</t>
  </si>
  <si>
    <t>Near Gassi El Agreb, Algeria</t>
  </si>
  <si>
    <t>Near Ga-Monyeki Vlakpan, South Africa</t>
  </si>
  <si>
    <t>Near Theniet El Abed, Algeria</t>
  </si>
  <si>
    <t>Near Marina El Alamein , Egypt</t>
  </si>
  <si>
    <t>Near Bettie , Cote D'Ivoire</t>
  </si>
  <si>
    <t>NEAR THE COAST OF LIBYA</t>
  </si>
  <si>
    <t>Near Suluq, Libya</t>
  </si>
  <si>
    <t>Off the coast of Cote D'Ivoire</t>
  </si>
  <si>
    <t>Near Toumodi , Cote D'Ivoire</t>
  </si>
  <si>
    <t>Near Machaneng,Botswana</t>
  </si>
  <si>
    <t>Near Campbell, South Africa</t>
  </si>
  <si>
    <t>SOUTH COAST OF NORTHWEST OF AFRICA</t>
  </si>
  <si>
    <t>Off the coast of Ghana</t>
  </si>
  <si>
    <t>Near Rooiputs , South Africa</t>
  </si>
  <si>
    <t>Near Papkuil, South Africa</t>
  </si>
  <si>
    <t>Near Molonou, Ivory Coast</t>
  </si>
  <si>
    <t>Of the cosat of Monrovia</t>
  </si>
  <si>
    <t>NORTHWEST OF MASAGASCAR</t>
  </si>
  <si>
    <t>Near Marahoue, Ivory coast</t>
  </si>
  <si>
    <t xml:space="preserve">Near Reitfontein, South Africa </t>
  </si>
  <si>
    <t>Of the coast of Western Sahara</t>
  </si>
  <si>
    <t xml:space="preserve">Near Ain Ben Tili,Mauritania </t>
  </si>
  <si>
    <t xml:space="preserve">Near Oyo State, Nigeria </t>
  </si>
  <si>
    <t xml:space="preserve">Near Sonoumon, B enin </t>
  </si>
  <si>
    <t>Near Abu Simbel, Egypt</t>
  </si>
  <si>
    <t>Near Kiarouan,Tunisia</t>
  </si>
  <si>
    <t xml:space="preserve">Near Mayotte </t>
  </si>
  <si>
    <t xml:space="preserve">Near Bakey Boulangerie Ben Adedslem, Tunisia </t>
  </si>
  <si>
    <t>53.0f</t>
  </si>
  <si>
    <t xml:space="preserve">Near Dohul, Ethiopia </t>
  </si>
  <si>
    <t>13.1f</t>
  </si>
  <si>
    <t xml:space="preserve">Near GAFSA, Tunisia </t>
  </si>
  <si>
    <t>Near Kalamilotra, Madagascar</t>
  </si>
  <si>
    <t>Near Witpan, South Africa</t>
  </si>
  <si>
    <t>Near TIRIS ZEMMOUR ADRAR, Mauritania</t>
  </si>
  <si>
    <t xml:space="preserve">Near Barrage de Cheffia, Tunisia </t>
  </si>
  <si>
    <t>Near Deelkraal, South Africa</t>
  </si>
  <si>
    <t>Near Stille Woning, South Africa</t>
  </si>
  <si>
    <t>Near Gazaoua, Niger</t>
  </si>
  <si>
    <t>Off the coast of West Africa</t>
  </si>
  <si>
    <t xml:space="preserve">Near Abu Hamad,Sudan </t>
  </si>
  <si>
    <t>Near Hopetowsn, South Africa</t>
  </si>
  <si>
    <t>Mahadrodroka, Madagascar</t>
  </si>
  <si>
    <t>3.48.</t>
  </si>
  <si>
    <t>Near Dealesville, South Africa</t>
  </si>
  <si>
    <t>Near Kirikiri, Burkina Faso</t>
  </si>
  <si>
    <t>Mabule, Botswana</t>
  </si>
  <si>
    <t xml:space="preserve">Off the coast of Liberia </t>
  </si>
  <si>
    <t>Near Kooum, Niger</t>
  </si>
  <si>
    <t>Near Kantiana, Burkina Faso</t>
  </si>
  <si>
    <t>Near Tambiga, Burkina Faso</t>
  </si>
  <si>
    <t xml:space="preserve">Near Baragwanath Aerodrome, Burkina Faso </t>
  </si>
  <si>
    <t xml:space="preserve">CHAD REGION </t>
  </si>
  <si>
    <t>Near Ounianga kebir, Chad</t>
  </si>
  <si>
    <t>Near Hartbeesfontein, South Africa</t>
  </si>
  <si>
    <t xml:space="preserve">OFF COAST OF SOUTH AFRICA </t>
  </si>
  <si>
    <t>Near Oued Moulouya, Morocco</t>
  </si>
  <si>
    <t>Near Blyvooruitzicht Gold Mine, South Africa</t>
  </si>
  <si>
    <t>Near Zimba, Zambia</t>
  </si>
  <si>
    <t>125.4f</t>
  </si>
  <si>
    <t>Naer Iskushuban, Somalia</t>
  </si>
  <si>
    <t>Bazai, Cote D'Ivoire</t>
  </si>
  <si>
    <t>Assebrako, Cote D'Ivoire</t>
  </si>
  <si>
    <t>Ble, Cote D'Ivoire</t>
  </si>
  <si>
    <t>Banidyoumbou, Niger</t>
  </si>
  <si>
    <t>166.8f</t>
  </si>
  <si>
    <t>Sebkhet de Sidi El Hani, Tunisia</t>
  </si>
  <si>
    <t>De Brug, Tunisia</t>
  </si>
  <si>
    <t>Belfast, South Africa</t>
  </si>
  <si>
    <t>Zorda, Tunisia</t>
  </si>
  <si>
    <t>Al-Jawf, Libya</t>
  </si>
  <si>
    <t>Zagoret, Cote D'Ivoire</t>
  </si>
  <si>
    <t>Tourine, Mauritania</t>
  </si>
  <si>
    <t>Kgakala, South Africa</t>
  </si>
  <si>
    <t>Goubongu, Niger</t>
  </si>
  <si>
    <t>Dry Harts, South Africa</t>
  </si>
  <si>
    <t>Near the coast of Liberia</t>
  </si>
  <si>
    <t>Hertzogville, South Africa</t>
  </si>
  <si>
    <t>El Habibia, Tunisia</t>
  </si>
  <si>
    <t>Cyferfontein, South Africa</t>
  </si>
  <si>
    <t>Gerihun, Sierra Leone</t>
  </si>
  <si>
    <t>Allanridge, South Africa</t>
  </si>
  <si>
    <t>Tichit</t>
  </si>
  <si>
    <t>Andramasina</t>
  </si>
  <si>
    <t>Naboomspruit</t>
  </si>
  <si>
    <t>Agareb</t>
  </si>
  <si>
    <t>Mozambique channel</t>
  </si>
  <si>
    <t>Kimberley</t>
  </si>
  <si>
    <t>Ain Errich</t>
  </si>
  <si>
    <t>Sowa</t>
  </si>
  <si>
    <t>Tiassalé</t>
  </si>
  <si>
    <t>Nalut District</t>
  </si>
  <si>
    <t>Forêt de Kesra</t>
  </si>
  <si>
    <t>211.5f</t>
  </si>
  <si>
    <t>Alepe</t>
  </si>
  <si>
    <t>Giants Castle Game Reserve</t>
  </si>
  <si>
    <t>Tifariti</t>
  </si>
  <si>
    <t>Oum El Bouaghi Province</t>
  </si>
  <si>
    <t>Cradock</t>
  </si>
  <si>
    <t>El Hadjadj</t>
  </si>
  <si>
    <t>Kweneng West</t>
  </si>
  <si>
    <t>Agboville</t>
  </si>
  <si>
    <t>Al-Jawf</t>
  </si>
  <si>
    <t>Mudimeli, Swaziland</t>
  </si>
  <si>
    <t>Graiba, Tunisia</t>
  </si>
  <si>
    <t>Ifaty, Madagascar</t>
  </si>
  <si>
    <t>Hopetown, SouthAfrica</t>
  </si>
  <si>
    <t>Moatize, Mozambique</t>
  </si>
  <si>
    <t>Hassi Bel Guebour, Algeria</t>
  </si>
  <si>
    <t>Tiassele, Cote d'Ivoire</t>
  </si>
  <si>
    <t>Ayoun al Atrous, Mauritania</t>
  </si>
  <si>
    <t>Fochville, Southy Africa</t>
  </si>
  <si>
    <t>Tlidjene, Algeria</t>
  </si>
  <si>
    <t>490.79km off the coast of South Africa, East London</t>
  </si>
  <si>
    <t>347.5f</t>
  </si>
  <si>
    <t>Ghanzi, Botswana</t>
  </si>
  <si>
    <t>CAMEROON</t>
  </si>
  <si>
    <t>Mbam-et-Kim, Cameroon</t>
  </si>
  <si>
    <t>Mlonzi, South Africa</t>
  </si>
  <si>
    <t>Mijek, Morocco</t>
  </si>
  <si>
    <t xml:space="preserve"> LIBYA </t>
  </si>
  <si>
    <t>Christiana, South Africa</t>
  </si>
  <si>
    <t>1168.01km 0ff the coast of Madagascar, Taolagnaro</t>
  </si>
  <si>
    <t>1057.56km 0ff the coast of Madagascar, Taolagnaro</t>
  </si>
  <si>
    <t>Lakota, Côte d'Ivoire</t>
  </si>
  <si>
    <t>Warrento, South Africa</t>
  </si>
  <si>
    <t>Imitek, Morocco</t>
  </si>
  <si>
    <t>111.85km off the coast of Mayotte</t>
  </si>
  <si>
    <t xml:space="preserve"> ZIMBABWE</t>
  </si>
  <si>
    <t>Shurugwi, Zimbabwe</t>
  </si>
  <si>
    <t>Djilali, Algeria</t>
  </si>
  <si>
    <t>Hoopstad, South Africa</t>
  </si>
  <si>
    <t>367.9f</t>
  </si>
  <si>
    <t>Ukpato, Nigeria</t>
  </si>
  <si>
    <t xml:space="preserve"> EGYPT </t>
  </si>
  <si>
    <t>Aswan, Egypt</t>
  </si>
  <si>
    <t xml:space="preserve"> TUNISIA</t>
  </si>
  <si>
    <t>Ksour, Tunisia</t>
  </si>
  <si>
    <t xml:space="preserve"> TANZANIA</t>
  </si>
  <si>
    <t>Arash, Tanzania</t>
  </si>
  <si>
    <t>Dewetsdorp, South Africa</t>
  </si>
  <si>
    <t>Chott El Fejaj, Tunisia</t>
  </si>
  <si>
    <t>Lukwati, Tanzania</t>
  </si>
  <si>
    <t>Kalaa, Algeria</t>
  </si>
  <si>
    <t>Didievi, Cote d'Ivoire</t>
  </si>
  <si>
    <t>Divo, Côte d'Ivoire</t>
  </si>
  <si>
    <t>278.76km off the coast of Togo, Lome</t>
  </si>
  <si>
    <t>Bo Traba, Algeria</t>
  </si>
  <si>
    <t>74.07km off the coast of  Ethiopia, Massawa</t>
  </si>
  <si>
    <t>Dabakala, Côte d'Ivoire</t>
  </si>
  <si>
    <t>Tamanrasset, Algeria</t>
  </si>
  <si>
    <t>Alepe, Côte d'Ivoire</t>
  </si>
  <si>
    <t xml:space="preserve"> MOZAMBIQUE</t>
  </si>
  <si>
    <t>Mabote, Mozambique</t>
  </si>
  <si>
    <t>Vaal Dam, South Africa</t>
  </si>
  <si>
    <t>Mufindi, Tanzania</t>
  </si>
  <si>
    <t>Debdeb, Libya</t>
  </si>
  <si>
    <t>Touggourt, Algeria</t>
  </si>
  <si>
    <t>id</t>
  </si>
  <si>
    <t>day</t>
  </si>
  <si>
    <t>mm</t>
  </si>
  <si>
    <t>year</t>
  </si>
  <si>
    <t>minute</t>
  </si>
  <si>
    <t>second</t>
  </si>
  <si>
    <t>hr</t>
  </si>
  <si>
    <t>latitude</t>
  </si>
  <si>
    <t>longitude</t>
  </si>
  <si>
    <t>mb</t>
  </si>
  <si>
    <t>ml</t>
  </si>
  <si>
    <t>az</t>
  </si>
  <si>
    <t>locaton</t>
  </si>
  <si>
    <t>nearest_location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</si>
</sst>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0.0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/>
      <name val="Calibri"/>
      <family val="2"/>
    </font>
    <font>
      <sz val="11"/>
      <color theme="4"/>
      <name val="Arial"/>
      <family val="2"/>
    </font>
    <font>
      <sz val="11"/>
      <color theme="4"/>
      <name val="Calibri"/>
      <family val="2"/>
      <scheme val="minor"/>
    </font>
    <font>
      <sz val="11"/>
      <color rgb="FFFF0000"/>
      <name val="Calibri"/>
      <family val="2"/>
    </font>
    <font>
      <sz val="11"/>
      <color rgb="FF00B050"/>
      <name val="Calibri"/>
      <family val="2"/>
    </font>
    <font>
      <sz val="11"/>
      <color rgb="FF00B050"/>
      <name val="Calibri"/>
      <family val="2"/>
      <scheme val="minor"/>
    </font>
    <font>
      <sz val="11"/>
      <color theme="3" tint="0.39997558519241921"/>
      <name val="Calibri"/>
      <family val="2"/>
    </font>
    <font>
      <sz val="11"/>
      <color rgb="FFFF0000"/>
      <name val="Arial"/>
      <family val="2"/>
    </font>
    <font>
      <sz val="10"/>
      <color theme="4"/>
      <name val="Calibri"/>
      <family val="2"/>
    </font>
    <font>
      <sz val="11"/>
      <color rgb="FF0070C0"/>
      <name val="Calibri"/>
      <family val="2"/>
    </font>
    <font>
      <sz val="11"/>
      <color rgb="FF0070C0"/>
      <name val="Arial"/>
      <family val="2"/>
    </font>
    <font>
      <sz val="11"/>
      <color rgb="FF00B050"/>
      <name val="Arial"/>
      <family val="2"/>
    </font>
    <font>
      <sz val="12"/>
      <color rgb="FF0070C0"/>
      <name val="Calibri"/>
      <family val="2"/>
    </font>
    <font>
      <sz val="12"/>
      <color rgb="FFFF0000"/>
      <name val="Calibri"/>
      <family val="2"/>
    </font>
    <font>
      <sz val="11"/>
      <color rgb="FF0070C0"/>
      <name val="Calibri"/>
      <family val="2"/>
      <scheme val="minor"/>
    </font>
    <font>
      <sz val="11"/>
      <color indexed="8"/>
      <name val="Arial"/>
      <family val="2"/>
    </font>
    <font>
      <sz val="11"/>
      <name val="Arial"/>
      <family val="2"/>
    </font>
    <font>
      <sz val="11"/>
      <color indexed="8"/>
      <name val="Calibri"/>
      <family val="2"/>
      <scheme val="minor"/>
    </font>
    <font>
      <sz val="11"/>
      <color theme="6"/>
      <name val="Calibri"/>
      <family val="2"/>
    </font>
    <font>
      <sz val="11"/>
      <name val="Calibri"/>
      <family val="2"/>
    </font>
    <font>
      <sz val="12"/>
      <color theme="9"/>
      <name val="Calibri"/>
      <family val="2"/>
    </font>
    <font>
      <sz val="12"/>
      <color indexed="8"/>
      <name val="Arial"/>
      <family val="2"/>
    </font>
    <font>
      <sz val="12"/>
      <color indexed="8"/>
      <name val="Calibri"/>
      <family val="2"/>
    </font>
    <font>
      <b/>
      <sz val="12"/>
      <name val="Arial"/>
      <family val="2"/>
    </font>
    <font>
      <sz val="12"/>
      <color indexed="8"/>
      <name val="Times New Roman"/>
      <family val="1"/>
    </font>
    <font>
      <sz val="12"/>
      <color rgb="FF0070C0"/>
      <name val="Times New Roman"/>
      <family val="1"/>
    </font>
    <font>
      <sz val="12"/>
      <color rgb="FFFF0000"/>
      <name val="Times New Roman"/>
      <family val="1"/>
    </font>
    <font>
      <b/>
      <sz val="9"/>
      <color rgb="FF4285F4"/>
      <name val="Arial"/>
      <family val="2"/>
    </font>
    <font>
      <b/>
      <sz val="9"/>
      <color rgb="FFFF0000"/>
      <name val="Arial"/>
      <family val="2"/>
    </font>
    <font>
      <b/>
      <sz val="11"/>
      <color rgb="FF4285F4"/>
      <name val="Arial"/>
      <family val="2"/>
    </font>
    <font>
      <b/>
      <sz val="11"/>
      <color rgb="FFFF0000"/>
      <name val="Arial"/>
      <family val="2"/>
    </font>
    <font>
      <b/>
      <sz val="11"/>
      <color theme="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6" fillId="0" borderId="0" xfId="0" applyFont="1"/>
    <xf numFmtId="0" fontId="6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/>
    <xf numFmtId="0" fontId="7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11" fillId="0" borderId="0" xfId="0" applyFont="1" applyAlignment="1">
      <alignment horizontal="left" vertical="top" wrapText="1"/>
    </xf>
    <xf numFmtId="0" fontId="12" fillId="0" borderId="0" xfId="0" applyFont="1"/>
    <xf numFmtId="0" fontId="12" fillId="0" borderId="0" xfId="0" applyFont="1" applyAlignment="1">
      <alignment horizontal="right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165" fontId="12" fillId="0" borderId="0" xfId="0" applyNumberFormat="1" applyFont="1" applyAlignment="1">
      <alignment horizontal="center"/>
    </xf>
    <xf numFmtId="164" fontId="12" fillId="0" borderId="0" xfId="0" applyNumberFormat="1" applyFont="1" applyAlignment="1">
      <alignment horizontal="center"/>
    </xf>
    <xf numFmtId="0" fontId="6" fillId="0" borderId="0" xfId="0" applyFont="1" applyAlignment="1">
      <alignment horizontal="center" wrapText="1"/>
    </xf>
    <xf numFmtId="164" fontId="6" fillId="0" borderId="0" xfId="0" applyNumberFormat="1" applyFont="1" applyAlignment="1">
      <alignment horizontal="right"/>
    </xf>
    <xf numFmtId="165" fontId="12" fillId="0" borderId="0" xfId="0" applyNumberFormat="1" applyFont="1"/>
    <xf numFmtId="164" fontId="12" fillId="0" borderId="0" xfId="0" applyNumberFormat="1" applyFont="1" applyAlignment="1">
      <alignment horizontal="right"/>
    </xf>
    <xf numFmtId="165" fontId="6" fillId="0" borderId="0" xfId="0" applyNumberFormat="1" applyFont="1"/>
    <xf numFmtId="165" fontId="6" fillId="0" borderId="0" xfId="0" applyNumberFormat="1" applyFont="1" applyAlignment="1">
      <alignment horizontal="center"/>
    </xf>
    <xf numFmtId="2" fontId="12" fillId="0" borderId="0" xfId="0" applyNumberFormat="1" applyFont="1" applyAlignment="1">
      <alignment horizontal="right"/>
    </xf>
    <xf numFmtId="1" fontId="12" fillId="0" borderId="0" xfId="0" applyNumberFormat="1" applyFont="1"/>
    <xf numFmtId="1" fontId="6" fillId="0" borderId="0" xfId="0" applyNumberFormat="1" applyFont="1"/>
    <xf numFmtId="2" fontId="6" fillId="0" borderId="0" xfId="0" applyNumberFormat="1" applyFont="1" applyAlignment="1">
      <alignment horizontal="right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5" fillId="0" borderId="0" xfId="0" applyFont="1"/>
    <xf numFmtId="0" fontId="16" fillId="0" borderId="0" xfId="0" applyFont="1"/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17" fillId="0" borderId="0" xfId="0" applyFont="1" applyAlignment="1">
      <alignment horizontal="right"/>
    </xf>
    <xf numFmtId="0" fontId="17" fillId="0" borderId="0" xfId="0" applyFont="1" applyAlignment="1">
      <alignment horizontal="center" vertical="top" wrapText="1"/>
    </xf>
    <xf numFmtId="0" fontId="2" fillId="0" borderId="0" xfId="0" applyFont="1"/>
    <xf numFmtId="0" fontId="18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 wrapText="1"/>
    </xf>
    <xf numFmtId="0" fontId="19" fillId="0" borderId="0" xfId="0" applyFont="1"/>
    <xf numFmtId="0" fontId="0" fillId="0" borderId="0" xfId="0" applyAlignment="1">
      <alignment horizontal="left" vertical="top" wrapText="1"/>
    </xf>
    <xf numFmtId="0" fontId="20" fillId="0" borderId="0" xfId="0" applyFont="1"/>
    <xf numFmtId="0" fontId="20" fillId="0" borderId="0" xfId="0" applyFont="1" applyAlignment="1">
      <alignment horizontal="left" vertical="top" wrapText="1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1" fillId="0" borderId="0" xfId="0" applyFont="1"/>
    <xf numFmtId="0" fontId="21" fillId="0" borderId="0" xfId="0" applyFont="1" applyAlignment="1">
      <alignment horizontal="right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center" vertical="top" wrapText="1"/>
    </xf>
    <xf numFmtId="0" fontId="21" fillId="0" borderId="0" xfId="0" applyFont="1" applyAlignment="1">
      <alignment horizontal="left" vertical="top" wrapText="1"/>
    </xf>
    <xf numFmtId="0" fontId="22" fillId="0" borderId="0" xfId="0" applyFont="1"/>
    <xf numFmtId="0" fontId="22" fillId="0" borderId="0" xfId="0" applyFont="1" applyAlignment="1">
      <alignment horizontal="right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center" vertical="top" wrapText="1"/>
    </xf>
    <xf numFmtId="0" fontId="22" fillId="0" borderId="0" xfId="0" applyFont="1" applyAlignment="1">
      <alignment horizontal="left" vertical="top" wrapText="1"/>
    </xf>
    <xf numFmtId="0" fontId="23" fillId="0" borderId="0" xfId="0" applyFont="1"/>
    <xf numFmtId="0" fontId="24" fillId="0" borderId="0" xfId="0" applyFont="1" applyAlignment="1">
      <alignment horizontal="center"/>
    </xf>
    <xf numFmtId="0" fontId="23" fillId="0" borderId="0" xfId="0" applyFont="1" applyAlignment="1">
      <alignment horizontal="right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center" vertical="top" wrapText="1"/>
    </xf>
    <xf numFmtId="0" fontId="23" fillId="0" borderId="0" xfId="0" applyFont="1" applyAlignment="1">
      <alignment horizontal="left" vertical="top" wrapText="1"/>
    </xf>
    <xf numFmtId="0" fontId="25" fillId="0" borderId="0" xfId="0" applyFont="1"/>
    <xf numFmtId="0" fontId="25" fillId="0" borderId="0" xfId="0" applyFont="1" applyAlignment="1">
      <alignment horizontal="right"/>
    </xf>
    <xf numFmtId="0" fontId="25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25" fillId="0" borderId="0" xfId="0" applyFont="1" applyAlignment="1">
      <alignment horizontal="center" vertical="top" wrapText="1"/>
    </xf>
    <xf numFmtId="0" fontId="25" fillId="0" borderId="0" xfId="0" applyFont="1" applyAlignment="1">
      <alignment horizontal="left" vertical="top" wrapText="1"/>
    </xf>
    <xf numFmtId="0" fontId="26" fillId="0" borderId="0" xfId="0" applyFont="1"/>
    <xf numFmtId="0" fontId="27" fillId="0" borderId="0" xfId="0" applyFont="1"/>
    <xf numFmtId="0" fontId="27" fillId="0" borderId="0" xfId="0" applyFont="1" applyAlignment="1">
      <alignment horizontal="right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7" fillId="0" borderId="0" xfId="0" applyFont="1" applyAlignment="1">
      <alignment horizontal="center" vertical="top" wrapText="1"/>
    </xf>
    <xf numFmtId="0" fontId="27" fillId="0" borderId="0" xfId="0" applyFont="1" applyAlignment="1">
      <alignment horizontal="left" vertical="top" wrapText="1"/>
    </xf>
    <xf numFmtId="0" fontId="29" fillId="0" borderId="0" xfId="0" applyFont="1"/>
    <xf numFmtId="0" fontId="29" fillId="0" borderId="0" xfId="0" applyFont="1" applyAlignment="1">
      <alignment horizontal="right"/>
    </xf>
    <xf numFmtId="0" fontId="29" fillId="0" borderId="0" xfId="0" applyFont="1" applyAlignment="1">
      <alignment horizontal="center"/>
    </xf>
    <xf numFmtId="0" fontId="29" fillId="0" borderId="0" xfId="0" applyFont="1" applyAlignment="1">
      <alignment horizontal="center" vertical="top" wrapText="1"/>
    </xf>
    <xf numFmtId="0" fontId="29" fillId="0" borderId="0" xfId="0" applyFont="1" applyAlignment="1">
      <alignment horizontal="left" vertical="top" wrapText="1"/>
    </xf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431</xdr:row>
      <xdr:rowOff>0</xdr:rowOff>
    </xdr:from>
    <xdr:ext cx="295275" cy="314325"/>
    <xdr:sp macro="" textlink="">
      <xdr:nvSpPr>
        <xdr:cNvPr id="2" name="AutoShape 1" descr="chrome-search://thumb/2/23">
          <a:extLst>
            <a:ext uri="{FF2B5EF4-FFF2-40B4-BE49-F238E27FC236}">
              <a16:creationId xmlns:a16="http://schemas.microsoft.com/office/drawing/2014/main" xmlns="" id="{00000000-0008-0000-0000-00008E060000}"/>
            </a:ext>
          </a:extLst>
        </xdr:cNvPr>
        <xdr:cNvSpPr>
          <a:spLocks noChangeAspect="1" noChangeArrowheads="1"/>
        </xdr:cNvSpPr>
      </xdr:nvSpPr>
      <xdr:spPr bwMode="auto">
        <a:xfrm>
          <a:off x="10877550" y="1131265200"/>
          <a:ext cx="295275" cy="314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01"/>
  <sheetViews>
    <sheetView tabSelected="1" topLeftCell="A1982" workbookViewId="0">
      <selection activeCell="A2" sqref="A2:A2001"/>
    </sheetView>
  </sheetViews>
  <sheetFormatPr defaultRowHeight="15" x14ac:dyDescent="0.25"/>
  <cols>
    <col min="14" max="14" width="28.7109375" bestFit="1" customWidth="1"/>
    <col min="15" max="15" width="47" bestFit="1" customWidth="1"/>
  </cols>
  <sheetData>
    <row r="1" spans="1:15" x14ac:dyDescent="0.25">
      <c r="A1" t="s">
        <v>1657</v>
      </c>
      <c r="B1" t="s">
        <v>1658</v>
      </c>
      <c r="C1" t="s">
        <v>1659</v>
      </c>
      <c r="D1" t="s">
        <v>1660</v>
      </c>
      <c r="E1" t="s">
        <v>1661</v>
      </c>
      <c r="F1" t="s">
        <v>1662</v>
      </c>
      <c r="G1" t="s">
        <v>1663</v>
      </c>
      <c r="H1" t="s">
        <v>1664</v>
      </c>
      <c r="I1" t="s">
        <v>1665</v>
      </c>
      <c r="J1" t="s">
        <v>1663</v>
      </c>
      <c r="K1" t="s">
        <v>1666</v>
      </c>
      <c r="L1" t="s">
        <v>1667</v>
      </c>
      <c r="M1" t="s">
        <v>1668</v>
      </c>
      <c r="N1" t="s">
        <v>1669</v>
      </c>
      <c r="O1" t="s">
        <v>1670</v>
      </c>
    </row>
    <row r="2" spans="1:15" ht="30" x14ac:dyDescent="0.25">
      <c r="A2">
        <v>8347</v>
      </c>
      <c r="B2" s="1">
        <v>2</v>
      </c>
      <c r="C2" s="2" t="s">
        <v>0</v>
      </c>
      <c r="D2">
        <v>2016</v>
      </c>
      <c r="E2" s="1">
        <v>32</v>
      </c>
      <c r="F2" s="3">
        <v>37.22</v>
      </c>
      <c r="G2" s="1">
        <v>12</v>
      </c>
      <c r="H2" s="3">
        <v>35.660899999999998</v>
      </c>
      <c r="I2" s="3">
        <v>9.7067999999999994</v>
      </c>
      <c r="J2" s="4" t="s">
        <v>1</v>
      </c>
      <c r="K2" s="1">
        <v>3.2</v>
      </c>
      <c r="L2" s="5"/>
      <c r="M2" s="3">
        <v>81</v>
      </c>
      <c r="N2" s="6" t="s">
        <v>2</v>
      </c>
      <c r="O2" s="7" t="s">
        <v>3</v>
      </c>
    </row>
    <row r="3" spans="1:15" ht="75" x14ac:dyDescent="0.25">
      <c r="A3">
        <v>8348</v>
      </c>
      <c r="B3" s="1">
        <v>3</v>
      </c>
      <c r="C3" s="2" t="s">
        <v>0</v>
      </c>
      <c r="D3">
        <v>2016</v>
      </c>
      <c r="E3" s="1">
        <v>48</v>
      </c>
      <c r="F3" s="3">
        <v>34.5</v>
      </c>
      <c r="G3" s="1">
        <v>7</v>
      </c>
      <c r="H3" s="3">
        <v>-21.453299999999999</v>
      </c>
      <c r="I3" s="3">
        <v>53.643900000000002</v>
      </c>
      <c r="J3" s="4" t="s">
        <v>1</v>
      </c>
      <c r="K3" s="1">
        <v>3.8</v>
      </c>
      <c r="L3" s="5"/>
      <c r="M3" s="3">
        <v>4</v>
      </c>
      <c r="N3" s="6" t="s">
        <v>4</v>
      </c>
      <c r="O3" s="7" t="s">
        <v>5</v>
      </c>
    </row>
    <row r="4" spans="1:15" ht="60" x14ac:dyDescent="0.25">
      <c r="A4">
        <v>8349</v>
      </c>
      <c r="B4" s="1">
        <v>3</v>
      </c>
      <c r="C4" s="2" t="s">
        <v>0</v>
      </c>
      <c r="D4">
        <v>2016</v>
      </c>
      <c r="E4" s="1">
        <v>57</v>
      </c>
      <c r="F4" s="3">
        <v>42.41</v>
      </c>
      <c r="G4" s="1">
        <v>10</v>
      </c>
      <c r="H4" s="3">
        <v>-28.231999999999999</v>
      </c>
      <c r="I4" s="3">
        <v>24.917400000000001</v>
      </c>
      <c r="J4" s="4" t="s">
        <v>1</v>
      </c>
      <c r="K4" s="1">
        <v>4.3</v>
      </c>
      <c r="L4" s="5"/>
      <c r="M4" s="3">
        <v>166</v>
      </c>
      <c r="N4" s="6" t="s">
        <v>6</v>
      </c>
      <c r="O4" s="7" t="s">
        <v>7</v>
      </c>
    </row>
    <row r="5" spans="1:15" ht="30" x14ac:dyDescent="0.25">
      <c r="A5">
        <v>8350</v>
      </c>
      <c r="B5" s="1">
        <v>3</v>
      </c>
      <c r="C5" s="2" t="s">
        <v>0</v>
      </c>
      <c r="D5">
        <v>2016</v>
      </c>
      <c r="E5" s="1">
        <v>14</v>
      </c>
      <c r="F5" s="3">
        <v>58.38</v>
      </c>
      <c r="G5" s="1">
        <v>18</v>
      </c>
      <c r="H5" s="3">
        <v>-10.993</v>
      </c>
      <c r="I5" s="3">
        <v>25.692499999999999</v>
      </c>
      <c r="J5" s="4" t="s">
        <v>1</v>
      </c>
      <c r="K5" s="1">
        <v>3.7</v>
      </c>
      <c r="L5" s="5">
        <v>3.8</v>
      </c>
      <c r="M5" s="3">
        <v>92</v>
      </c>
      <c r="N5" s="6" t="s">
        <v>8</v>
      </c>
      <c r="O5" s="7" t="s">
        <v>9</v>
      </c>
    </row>
    <row r="6" spans="1:15" ht="60" x14ac:dyDescent="0.25">
      <c r="A6">
        <v>8351</v>
      </c>
      <c r="B6" s="1">
        <v>4</v>
      </c>
      <c r="C6" s="2" t="s">
        <v>0</v>
      </c>
      <c r="D6">
        <v>2016</v>
      </c>
      <c r="E6" s="1">
        <v>53</v>
      </c>
      <c r="F6" s="3">
        <v>9.3699999999999992</v>
      </c>
      <c r="G6" s="1">
        <v>3</v>
      </c>
      <c r="H6" s="3">
        <v>36.3354</v>
      </c>
      <c r="I6" s="3">
        <v>3.6211000000000002</v>
      </c>
      <c r="J6" s="4" t="s">
        <v>1</v>
      </c>
      <c r="K6" s="1">
        <v>3.2</v>
      </c>
      <c r="L6" s="5">
        <v>3.6</v>
      </c>
      <c r="M6" s="3">
        <v>82</v>
      </c>
      <c r="N6" s="6" t="s">
        <v>10</v>
      </c>
      <c r="O6" s="7" t="s">
        <v>11</v>
      </c>
    </row>
    <row r="7" spans="1:15" ht="60" x14ac:dyDescent="0.25">
      <c r="A7">
        <v>8352</v>
      </c>
      <c r="B7" s="1">
        <v>4</v>
      </c>
      <c r="C7" s="2" t="s">
        <v>0</v>
      </c>
      <c r="D7">
        <v>2016</v>
      </c>
      <c r="E7" s="1">
        <v>21</v>
      </c>
      <c r="F7" s="3">
        <v>21.43</v>
      </c>
      <c r="G7" s="1">
        <v>5</v>
      </c>
      <c r="H7" s="3">
        <v>36.286799999999999</v>
      </c>
      <c r="I7" s="3">
        <v>3.5548000000000002</v>
      </c>
      <c r="J7" s="4" t="s">
        <v>1</v>
      </c>
      <c r="K7" s="1">
        <v>3.9</v>
      </c>
      <c r="L7" s="5">
        <v>3.8</v>
      </c>
      <c r="M7" s="3">
        <v>105</v>
      </c>
      <c r="N7" s="6" t="s">
        <v>10</v>
      </c>
      <c r="O7" s="7" t="s">
        <v>12</v>
      </c>
    </row>
    <row r="8" spans="1:15" ht="30" x14ac:dyDescent="0.25">
      <c r="A8">
        <v>8353</v>
      </c>
      <c r="B8" s="1">
        <v>4</v>
      </c>
      <c r="C8" s="2" t="s">
        <v>0</v>
      </c>
      <c r="D8">
        <v>2016</v>
      </c>
      <c r="E8" s="1">
        <v>55</v>
      </c>
      <c r="F8" s="3">
        <v>0.17</v>
      </c>
      <c r="G8" s="1">
        <v>19</v>
      </c>
      <c r="H8" s="3">
        <v>-1.0202</v>
      </c>
      <c r="I8" s="3">
        <v>37.336300000000001</v>
      </c>
      <c r="J8" s="4" t="s">
        <v>1</v>
      </c>
      <c r="K8" s="1">
        <v>3.9</v>
      </c>
      <c r="L8" s="5"/>
      <c r="M8" s="3">
        <v>39</v>
      </c>
      <c r="N8" s="6" t="s">
        <v>13</v>
      </c>
      <c r="O8" s="7" t="s">
        <v>14</v>
      </c>
    </row>
    <row r="9" spans="1:15" ht="45" x14ac:dyDescent="0.25">
      <c r="A9">
        <v>8354</v>
      </c>
      <c r="B9" s="8">
        <v>5</v>
      </c>
      <c r="C9" s="2" t="s">
        <v>0</v>
      </c>
      <c r="D9">
        <v>2016</v>
      </c>
      <c r="E9" s="8">
        <v>16</v>
      </c>
      <c r="F9" s="9">
        <v>10.32</v>
      </c>
      <c r="G9" s="8">
        <v>15</v>
      </c>
      <c r="H9" s="9">
        <v>19.7546</v>
      </c>
      <c r="I9" s="9">
        <v>-13.7598</v>
      </c>
      <c r="J9" s="10" t="s">
        <v>1</v>
      </c>
      <c r="K9" s="8">
        <v>3.7</v>
      </c>
      <c r="L9" s="11">
        <v>3.7</v>
      </c>
      <c r="M9" s="9">
        <v>53</v>
      </c>
      <c r="N9" s="12" t="s">
        <v>15</v>
      </c>
      <c r="O9" s="13" t="s">
        <v>16</v>
      </c>
    </row>
    <row r="10" spans="1:15" ht="60" x14ac:dyDescent="0.25">
      <c r="A10">
        <v>8355</v>
      </c>
      <c r="B10" s="1">
        <v>5</v>
      </c>
      <c r="C10" s="2" t="s">
        <v>0</v>
      </c>
      <c r="D10">
        <v>2016</v>
      </c>
      <c r="E10" s="1">
        <v>35</v>
      </c>
      <c r="F10" s="3">
        <v>40.17</v>
      </c>
      <c r="G10" s="1">
        <v>16</v>
      </c>
      <c r="H10" s="3">
        <v>-31.456</v>
      </c>
      <c r="I10" s="3">
        <v>18.9589</v>
      </c>
      <c r="J10" s="4" t="s">
        <v>1</v>
      </c>
      <c r="K10" s="1">
        <v>3.9</v>
      </c>
      <c r="L10" s="5"/>
      <c r="M10" s="3">
        <v>131</v>
      </c>
      <c r="N10" s="6" t="s">
        <v>6</v>
      </c>
      <c r="O10" s="7" t="s">
        <v>17</v>
      </c>
    </row>
    <row r="11" spans="1:15" ht="45" x14ac:dyDescent="0.25">
      <c r="A11">
        <v>8356</v>
      </c>
      <c r="B11" s="8">
        <v>5</v>
      </c>
      <c r="C11" s="2" t="s">
        <v>0</v>
      </c>
      <c r="D11">
        <v>2016</v>
      </c>
      <c r="E11" s="8">
        <v>33</v>
      </c>
      <c r="F11" s="9">
        <v>22.29</v>
      </c>
      <c r="G11" s="8">
        <v>20</v>
      </c>
      <c r="H11" s="9">
        <v>5.6279000000000003</v>
      </c>
      <c r="I11" s="9">
        <v>-5.7408999999999999</v>
      </c>
      <c r="J11" s="10" t="s">
        <v>1</v>
      </c>
      <c r="K11" s="8">
        <v>4.0999999999999996</v>
      </c>
      <c r="L11" s="11"/>
      <c r="M11" s="9">
        <v>154</v>
      </c>
      <c r="N11" s="12" t="s">
        <v>15</v>
      </c>
      <c r="O11" s="13" t="s">
        <v>18</v>
      </c>
    </row>
    <row r="12" spans="1:15" ht="60" x14ac:dyDescent="0.25">
      <c r="A12">
        <v>8357</v>
      </c>
      <c r="B12" s="1">
        <v>5</v>
      </c>
      <c r="C12" s="2" t="s">
        <v>0</v>
      </c>
      <c r="D12">
        <v>2016</v>
      </c>
      <c r="E12" s="1">
        <v>42</v>
      </c>
      <c r="F12" s="3">
        <v>20.25</v>
      </c>
      <c r="G12" s="1">
        <v>20</v>
      </c>
      <c r="H12" s="3">
        <v>-26.922000000000001</v>
      </c>
      <c r="I12" s="3">
        <v>27.3796</v>
      </c>
      <c r="J12" s="4" t="s">
        <v>1</v>
      </c>
      <c r="K12" s="1">
        <v>4</v>
      </c>
      <c r="L12" s="5">
        <v>2</v>
      </c>
      <c r="M12" s="3">
        <v>137</v>
      </c>
      <c r="N12" s="6" t="s">
        <v>6</v>
      </c>
      <c r="O12" s="7" t="s">
        <v>19</v>
      </c>
    </row>
    <row r="13" spans="1:15" ht="75" x14ac:dyDescent="0.25">
      <c r="A13">
        <v>8358</v>
      </c>
      <c r="B13" s="1">
        <v>6</v>
      </c>
      <c r="C13" s="2" t="s">
        <v>0</v>
      </c>
      <c r="D13">
        <v>2016</v>
      </c>
      <c r="E13" s="1">
        <v>55</v>
      </c>
      <c r="F13" s="3">
        <v>11.92</v>
      </c>
      <c r="G13" s="1">
        <v>2</v>
      </c>
      <c r="H13" s="3">
        <v>2.5399999999999999E-2</v>
      </c>
      <c r="I13" s="3">
        <v>17.581199999999999</v>
      </c>
      <c r="J13" s="4" t="s">
        <v>1</v>
      </c>
      <c r="K13" s="1">
        <v>4.0999999999999996</v>
      </c>
      <c r="L13" s="5"/>
      <c r="M13" s="3">
        <v>151</v>
      </c>
      <c r="N13" s="6" t="s">
        <v>20</v>
      </c>
      <c r="O13" s="7" t="s">
        <v>21</v>
      </c>
    </row>
    <row r="14" spans="1:15" ht="60" x14ac:dyDescent="0.25">
      <c r="A14">
        <v>8359</v>
      </c>
      <c r="B14" s="1">
        <v>6</v>
      </c>
      <c r="C14" s="2" t="s">
        <v>0</v>
      </c>
      <c r="D14">
        <v>2016</v>
      </c>
      <c r="E14" s="1">
        <v>4</v>
      </c>
      <c r="F14" s="3">
        <v>30.21</v>
      </c>
      <c r="G14" s="1">
        <v>4</v>
      </c>
      <c r="H14" s="3">
        <v>-32.061599999999999</v>
      </c>
      <c r="I14" s="3">
        <v>27.588899999999999</v>
      </c>
      <c r="J14" s="4" t="s">
        <v>1</v>
      </c>
      <c r="K14" s="1">
        <v>4.2</v>
      </c>
      <c r="L14" s="5"/>
      <c r="M14" s="3">
        <v>88</v>
      </c>
      <c r="N14" s="6" t="s">
        <v>6</v>
      </c>
      <c r="O14" s="7" t="s">
        <v>22</v>
      </c>
    </row>
    <row r="15" spans="1:15" ht="60" x14ac:dyDescent="0.25">
      <c r="A15">
        <v>8360</v>
      </c>
      <c r="B15" s="1">
        <v>6</v>
      </c>
      <c r="C15" s="2" t="s">
        <v>0</v>
      </c>
      <c r="D15">
        <v>2016</v>
      </c>
      <c r="E15" s="1">
        <v>27</v>
      </c>
      <c r="F15" s="3">
        <v>42.18</v>
      </c>
      <c r="G15" s="1">
        <v>11</v>
      </c>
      <c r="H15" s="3">
        <v>-26.117699999999999</v>
      </c>
      <c r="I15" s="3">
        <v>29.351800000000001</v>
      </c>
      <c r="J15" s="4" t="s">
        <v>1</v>
      </c>
      <c r="K15" s="1">
        <v>4.2</v>
      </c>
      <c r="L15" s="5">
        <v>2.8</v>
      </c>
      <c r="M15" s="3">
        <v>135</v>
      </c>
      <c r="N15" s="6" t="s">
        <v>6</v>
      </c>
      <c r="O15" s="7" t="s">
        <v>23</v>
      </c>
    </row>
    <row r="16" spans="1:15" ht="75" x14ac:dyDescent="0.25">
      <c r="A16">
        <v>8361</v>
      </c>
      <c r="B16" s="1">
        <v>6</v>
      </c>
      <c r="C16" s="2" t="s">
        <v>0</v>
      </c>
      <c r="D16">
        <v>2016</v>
      </c>
      <c r="E16" s="1">
        <v>13</v>
      </c>
      <c r="F16" s="3">
        <v>6.2</v>
      </c>
      <c r="G16" s="1">
        <v>12</v>
      </c>
      <c r="H16" s="3">
        <v>-30.3263</v>
      </c>
      <c r="I16" s="3">
        <v>53.230899999999998</v>
      </c>
      <c r="J16" s="4" t="s">
        <v>1</v>
      </c>
      <c r="K16" s="1">
        <v>3.9</v>
      </c>
      <c r="L16" s="5"/>
      <c r="M16" s="3">
        <v>147</v>
      </c>
      <c r="N16" s="6" t="s">
        <v>24</v>
      </c>
      <c r="O16" s="7" t="s">
        <v>25</v>
      </c>
    </row>
    <row r="17" spans="1:15" ht="45" x14ac:dyDescent="0.25">
      <c r="A17">
        <v>8362</v>
      </c>
      <c r="B17" s="1">
        <v>7</v>
      </c>
      <c r="C17" s="2" t="s">
        <v>0</v>
      </c>
      <c r="D17">
        <v>2016</v>
      </c>
      <c r="E17" s="1">
        <v>21</v>
      </c>
      <c r="F17" s="3">
        <v>2.95</v>
      </c>
      <c r="G17" s="1">
        <v>7</v>
      </c>
      <c r="H17" s="3">
        <v>-13.8268</v>
      </c>
      <c r="I17" s="3">
        <v>35.932299999999998</v>
      </c>
      <c r="J17" s="4" t="s">
        <v>1</v>
      </c>
      <c r="K17" s="1">
        <v>3.7</v>
      </c>
      <c r="L17" s="5">
        <v>3.2</v>
      </c>
      <c r="M17" s="3">
        <v>106</v>
      </c>
      <c r="N17" s="6" t="s">
        <v>26</v>
      </c>
      <c r="O17" s="7" t="s">
        <v>27</v>
      </c>
    </row>
    <row r="18" spans="1:15" ht="60" x14ac:dyDescent="0.25">
      <c r="A18">
        <v>8363</v>
      </c>
      <c r="B18" s="1">
        <v>7</v>
      </c>
      <c r="C18" s="2" t="s">
        <v>0</v>
      </c>
      <c r="D18">
        <v>2016</v>
      </c>
      <c r="E18" s="1">
        <v>25</v>
      </c>
      <c r="F18" s="3">
        <v>55.97</v>
      </c>
      <c r="G18" s="1">
        <v>9</v>
      </c>
      <c r="H18" s="3">
        <v>30.742100000000001</v>
      </c>
      <c r="I18" s="3">
        <v>-3.4538000000000002</v>
      </c>
      <c r="J18" s="4" t="s">
        <v>1</v>
      </c>
      <c r="K18" s="1">
        <v>3.4</v>
      </c>
      <c r="L18" s="5">
        <v>3.8</v>
      </c>
      <c r="M18" s="3">
        <v>37</v>
      </c>
      <c r="N18" s="6" t="s">
        <v>28</v>
      </c>
      <c r="O18" s="7" t="s">
        <v>29</v>
      </c>
    </row>
    <row r="19" spans="1:15" ht="60" x14ac:dyDescent="0.25">
      <c r="A19">
        <v>8364</v>
      </c>
      <c r="B19" s="1">
        <v>7</v>
      </c>
      <c r="C19" s="2" t="s">
        <v>0</v>
      </c>
      <c r="D19">
        <v>2016</v>
      </c>
      <c r="E19" s="1">
        <v>50</v>
      </c>
      <c r="F19" s="3">
        <v>19.21</v>
      </c>
      <c r="G19" s="1">
        <v>13</v>
      </c>
      <c r="H19" s="3">
        <v>-28.567799999999998</v>
      </c>
      <c r="I19" s="3">
        <v>25.403099999999998</v>
      </c>
      <c r="J19" s="4" t="s">
        <v>1</v>
      </c>
      <c r="K19" s="1">
        <v>3.9</v>
      </c>
      <c r="L19" s="5"/>
      <c r="M19" s="3"/>
      <c r="N19" s="6" t="s">
        <v>6</v>
      </c>
      <c r="O19" s="7" t="s">
        <v>30</v>
      </c>
    </row>
    <row r="20" spans="1:15" ht="60" x14ac:dyDescent="0.25">
      <c r="A20">
        <v>8365</v>
      </c>
      <c r="B20" s="1">
        <v>7</v>
      </c>
      <c r="C20" s="2" t="s">
        <v>0</v>
      </c>
      <c r="D20">
        <v>2016</v>
      </c>
      <c r="E20" s="1">
        <v>0</v>
      </c>
      <c r="F20" s="3">
        <v>4.3</v>
      </c>
      <c r="G20" s="1">
        <v>15</v>
      </c>
      <c r="H20" s="3">
        <v>-24.7516</v>
      </c>
      <c r="I20" s="3">
        <v>28.6435</v>
      </c>
      <c r="J20" s="4" t="s">
        <v>1</v>
      </c>
      <c r="K20" s="1">
        <v>4.3</v>
      </c>
      <c r="L20" s="5">
        <v>2.9</v>
      </c>
      <c r="M20" s="3">
        <v>114</v>
      </c>
      <c r="N20" s="6" t="s">
        <v>6</v>
      </c>
      <c r="O20" s="7" t="s">
        <v>31</v>
      </c>
    </row>
    <row r="21" spans="1:15" ht="60" x14ac:dyDescent="0.25">
      <c r="A21">
        <v>8366</v>
      </c>
      <c r="B21" s="1">
        <v>8</v>
      </c>
      <c r="C21" s="2" t="s">
        <v>0</v>
      </c>
      <c r="D21">
        <v>2016</v>
      </c>
      <c r="E21" s="1">
        <v>33</v>
      </c>
      <c r="F21" s="3">
        <v>41.69</v>
      </c>
      <c r="G21" s="1">
        <v>11</v>
      </c>
      <c r="H21" s="3">
        <v>-27.408100000000001</v>
      </c>
      <c r="I21" s="3">
        <v>22.962</v>
      </c>
      <c r="J21" s="4" t="s">
        <v>1</v>
      </c>
      <c r="K21" s="1">
        <v>4</v>
      </c>
      <c r="L21" s="5"/>
      <c r="M21" s="3">
        <v>39</v>
      </c>
      <c r="N21" s="6" t="s">
        <v>6</v>
      </c>
      <c r="O21" s="7" t="s">
        <v>32</v>
      </c>
    </row>
    <row r="22" spans="1:15" ht="60" x14ac:dyDescent="0.25">
      <c r="A22">
        <v>8367</v>
      </c>
      <c r="B22" s="1">
        <v>8</v>
      </c>
      <c r="C22" s="2" t="s">
        <v>0</v>
      </c>
      <c r="D22">
        <v>2016</v>
      </c>
      <c r="E22" s="1">
        <v>16</v>
      </c>
      <c r="F22" s="3">
        <v>7.64</v>
      </c>
      <c r="G22" s="1">
        <v>12</v>
      </c>
      <c r="H22" s="3">
        <v>-26.546900000000001</v>
      </c>
      <c r="I22" s="3">
        <v>20.704799999999999</v>
      </c>
      <c r="J22" s="4" t="s">
        <v>1</v>
      </c>
      <c r="K22" s="1">
        <v>3.6</v>
      </c>
      <c r="L22" s="5">
        <v>4.3</v>
      </c>
      <c r="M22" s="3">
        <v>14</v>
      </c>
      <c r="N22" s="6" t="s">
        <v>6</v>
      </c>
      <c r="O22" s="7" t="s">
        <v>33</v>
      </c>
    </row>
    <row r="23" spans="1:15" ht="60" x14ac:dyDescent="0.25">
      <c r="A23">
        <v>8368</v>
      </c>
      <c r="B23" s="8">
        <v>8</v>
      </c>
      <c r="C23" s="2" t="s">
        <v>0</v>
      </c>
      <c r="D23">
        <v>2016</v>
      </c>
      <c r="E23" s="8">
        <v>30</v>
      </c>
      <c r="F23" s="9">
        <v>40.53</v>
      </c>
      <c r="G23" s="8">
        <v>14</v>
      </c>
      <c r="H23" s="9">
        <v>-28.920200000000001</v>
      </c>
      <c r="I23" s="9">
        <v>25.551200000000001</v>
      </c>
      <c r="J23" s="10" t="s">
        <v>1</v>
      </c>
      <c r="K23" s="8">
        <v>3.7</v>
      </c>
      <c r="L23" s="11">
        <v>3.6</v>
      </c>
      <c r="M23" s="9">
        <v>46</v>
      </c>
      <c r="N23" s="12" t="s">
        <v>15</v>
      </c>
      <c r="O23" s="13" t="s">
        <v>34</v>
      </c>
    </row>
    <row r="24" spans="1:15" ht="45" x14ac:dyDescent="0.25">
      <c r="A24">
        <v>8369</v>
      </c>
      <c r="B24" s="8">
        <v>10</v>
      </c>
      <c r="C24" s="2" t="s">
        <v>0</v>
      </c>
      <c r="D24">
        <v>2016</v>
      </c>
      <c r="E24" s="8">
        <v>58</v>
      </c>
      <c r="F24" s="9">
        <v>22.86</v>
      </c>
      <c r="G24" s="8">
        <v>4</v>
      </c>
      <c r="H24" s="9">
        <v>8.6907999999999994</v>
      </c>
      <c r="I24" s="9">
        <v>-5.5765000000000002</v>
      </c>
      <c r="J24" s="10" t="s">
        <v>1</v>
      </c>
      <c r="K24" s="8"/>
      <c r="L24" s="11">
        <v>2.8</v>
      </c>
      <c r="M24" s="9">
        <v>101</v>
      </c>
      <c r="N24" s="12" t="s">
        <v>15</v>
      </c>
      <c r="O24" s="13" t="s">
        <v>35</v>
      </c>
    </row>
    <row r="25" spans="1:15" ht="60" x14ac:dyDescent="0.25">
      <c r="A25">
        <v>8370</v>
      </c>
      <c r="B25" s="1">
        <v>10</v>
      </c>
      <c r="C25" s="2" t="s">
        <v>0</v>
      </c>
      <c r="D25">
        <v>2016</v>
      </c>
      <c r="E25" s="1">
        <v>21</v>
      </c>
      <c r="F25" s="3">
        <v>46.52</v>
      </c>
      <c r="G25" s="1">
        <v>10</v>
      </c>
      <c r="H25" s="3">
        <v>-27.8965</v>
      </c>
      <c r="I25" s="3">
        <v>24.633900000000001</v>
      </c>
      <c r="J25" s="4" t="s">
        <v>1</v>
      </c>
      <c r="K25" s="1">
        <v>4.2</v>
      </c>
      <c r="L25" s="5"/>
      <c r="M25" s="3">
        <v>60</v>
      </c>
      <c r="N25" s="6" t="s">
        <v>6</v>
      </c>
      <c r="O25" s="7" t="s">
        <v>36</v>
      </c>
    </row>
    <row r="26" spans="1:15" ht="75" x14ac:dyDescent="0.25">
      <c r="A26">
        <v>8371</v>
      </c>
      <c r="B26" s="1">
        <v>10</v>
      </c>
      <c r="C26" s="2" t="s">
        <v>0</v>
      </c>
      <c r="D26">
        <v>2016</v>
      </c>
      <c r="E26" s="1">
        <v>36</v>
      </c>
      <c r="F26" s="3">
        <v>58.21</v>
      </c>
      <c r="G26" s="1">
        <v>13</v>
      </c>
      <c r="H26" s="3">
        <v>-25.6281</v>
      </c>
      <c r="I26" s="3">
        <v>27.268599999999999</v>
      </c>
      <c r="J26" s="4" t="s">
        <v>1</v>
      </c>
      <c r="K26" s="1">
        <v>4.4000000000000004</v>
      </c>
      <c r="L26" s="5"/>
      <c r="M26" s="3">
        <v>102</v>
      </c>
      <c r="N26" s="6" t="s">
        <v>6</v>
      </c>
      <c r="O26" s="7" t="s">
        <v>37</v>
      </c>
    </row>
    <row r="27" spans="1:15" ht="75" x14ac:dyDescent="0.25">
      <c r="A27">
        <v>8372</v>
      </c>
      <c r="B27" s="1">
        <v>10</v>
      </c>
      <c r="C27" s="2" t="s">
        <v>0</v>
      </c>
      <c r="D27">
        <v>2016</v>
      </c>
      <c r="E27" s="1">
        <v>46</v>
      </c>
      <c r="F27" s="3">
        <v>25.12</v>
      </c>
      <c r="G27" s="1">
        <v>22</v>
      </c>
      <c r="H27" s="3">
        <v>-26.622599999999998</v>
      </c>
      <c r="I27" s="3">
        <v>29.316400000000002</v>
      </c>
      <c r="J27" s="4" t="s">
        <v>1</v>
      </c>
      <c r="K27" s="1">
        <v>3.9</v>
      </c>
      <c r="L27" s="5">
        <v>2.7</v>
      </c>
      <c r="M27" s="3">
        <v>143</v>
      </c>
      <c r="N27" s="6" t="s">
        <v>6</v>
      </c>
      <c r="O27" s="7" t="s">
        <v>38</v>
      </c>
    </row>
    <row r="28" spans="1:15" ht="60" x14ac:dyDescent="0.25">
      <c r="A28">
        <v>8373</v>
      </c>
      <c r="B28" s="1">
        <v>11</v>
      </c>
      <c r="C28" s="2" t="s">
        <v>0</v>
      </c>
      <c r="D28">
        <v>2016</v>
      </c>
      <c r="E28" s="1">
        <v>3</v>
      </c>
      <c r="F28" s="3">
        <v>19.2</v>
      </c>
      <c r="G28" s="1">
        <v>1</v>
      </c>
      <c r="H28" s="3">
        <v>-24.2485</v>
      </c>
      <c r="I28" s="3">
        <v>27.989799999999999</v>
      </c>
      <c r="J28" s="4" t="s">
        <v>1</v>
      </c>
      <c r="K28" s="1">
        <v>3.8</v>
      </c>
      <c r="L28" s="5">
        <v>3.3</v>
      </c>
      <c r="M28" s="3">
        <v>105</v>
      </c>
      <c r="N28" s="6" t="s">
        <v>6</v>
      </c>
      <c r="O28" s="7" t="s">
        <v>39</v>
      </c>
    </row>
    <row r="29" spans="1:15" ht="45" x14ac:dyDescent="0.25">
      <c r="A29">
        <v>8374</v>
      </c>
      <c r="B29" s="14">
        <v>11</v>
      </c>
      <c r="C29" s="2" t="s">
        <v>0</v>
      </c>
      <c r="D29">
        <v>2016</v>
      </c>
      <c r="E29" s="14">
        <v>16</v>
      </c>
      <c r="F29" s="15">
        <v>16.16</v>
      </c>
      <c r="G29" s="14">
        <v>19</v>
      </c>
      <c r="H29" s="15">
        <v>7.7286000000000001</v>
      </c>
      <c r="I29" s="15">
        <v>6.2100000000000002E-2</v>
      </c>
      <c r="J29" s="16" t="s">
        <v>1</v>
      </c>
      <c r="K29" s="14"/>
      <c r="L29" s="17">
        <v>2.2999999999999998</v>
      </c>
      <c r="M29" s="15">
        <v>16</v>
      </c>
      <c r="N29" s="18" t="s">
        <v>15</v>
      </c>
      <c r="O29" s="19" t="s">
        <v>40</v>
      </c>
    </row>
    <row r="30" spans="1:15" ht="45" x14ac:dyDescent="0.25">
      <c r="A30">
        <v>8375</v>
      </c>
      <c r="B30" s="1">
        <v>11</v>
      </c>
      <c r="C30" s="2" t="s">
        <v>0</v>
      </c>
      <c r="D30">
        <v>2016</v>
      </c>
      <c r="E30" s="1">
        <v>57</v>
      </c>
      <c r="F30" s="3">
        <v>56.05</v>
      </c>
      <c r="G30" s="1">
        <v>22</v>
      </c>
      <c r="H30" s="3">
        <v>36.7759</v>
      </c>
      <c r="I30" s="3">
        <v>2.3569</v>
      </c>
      <c r="J30" s="4" t="s">
        <v>1</v>
      </c>
      <c r="K30" s="1">
        <v>3.6</v>
      </c>
      <c r="L30" s="5">
        <v>3.6</v>
      </c>
      <c r="M30" s="3">
        <v>112</v>
      </c>
      <c r="N30" s="6" t="s">
        <v>10</v>
      </c>
      <c r="O30" s="7" t="s">
        <v>41</v>
      </c>
    </row>
    <row r="31" spans="1:15" ht="45" x14ac:dyDescent="0.25">
      <c r="A31">
        <v>8376</v>
      </c>
      <c r="B31" s="1">
        <v>11</v>
      </c>
      <c r="C31" s="2" t="s">
        <v>0</v>
      </c>
      <c r="D31">
        <v>2016</v>
      </c>
      <c r="E31" s="1">
        <v>58</v>
      </c>
      <c r="F31" s="3">
        <v>40.270000000000003</v>
      </c>
      <c r="G31" s="1">
        <v>23</v>
      </c>
      <c r="H31" s="3">
        <v>36.408000000000001</v>
      </c>
      <c r="I31" s="3">
        <v>3.0632000000000001</v>
      </c>
      <c r="J31" s="4" t="s">
        <v>1</v>
      </c>
      <c r="K31" s="1">
        <v>3.7</v>
      </c>
      <c r="L31" s="5">
        <v>3.6</v>
      </c>
      <c r="M31" s="3">
        <v>56</v>
      </c>
      <c r="N31" s="6" t="s">
        <v>10</v>
      </c>
      <c r="O31" s="7" t="s">
        <v>42</v>
      </c>
    </row>
    <row r="32" spans="1:15" ht="60" x14ac:dyDescent="0.25">
      <c r="A32">
        <v>8377</v>
      </c>
      <c r="B32" s="1">
        <v>12</v>
      </c>
      <c r="C32" s="2" t="s">
        <v>0</v>
      </c>
      <c r="D32">
        <v>2016</v>
      </c>
      <c r="E32" s="1">
        <v>38</v>
      </c>
      <c r="F32" s="3">
        <v>22.83</v>
      </c>
      <c r="G32" s="1">
        <v>2</v>
      </c>
      <c r="H32" s="3">
        <v>-28.295300000000001</v>
      </c>
      <c r="I32" s="3">
        <v>26.747800000000002</v>
      </c>
      <c r="J32" s="4" t="s">
        <v>1</v>
      </c>
      <c r="K32" s="1">
        <v>4.0999999999999996</v>
      </c>
      <c r="L32" s="5"/>
      <c r="M32" s="3">
        <v>176</v>
      </c>
      <c r="N32" s="6" t="s">
        <v>6</v>
      </c>
      <c r="O32" s="7" t="s">
        <v>43</v>
      </c>
    </row>
    <row r="33" spans="1:15" ht="30" x14ac:dyDescent="0.25">
      <c r="A33">
        <v>8378</v>
      </c>
      <c r="B33" s="1">
        <v>12</v>
      </c>
      <c r="C33" s="2" t="s">
        <v>0</v>
      </c>
      <c r="D33">
        <v>2016</v>
      </c>
      <c r="E33" s="1">
        <v>44</v>
      </c>
      <c r="F33" s="3">
        <v>12.43</v>
      </c>
      <c r="G33" s="1">
        <v>6</v>
      </c>
      <c r="H33" s="3">
        <v>35.760199999999998</v>
      </c>
      <c r="I33" s="3">
        <v>9.2989999999999995</v>
      </c>
      <c r="J33" s="4" t="s">
        <v>1</v>
      </c>
      <c r="K33" s="1">
        <v>4.2</v>
      </c>
      <c r="L33" s="5"/>
      <c r="M33" s="3">
        <v>127</v>
      </c>
      <c r="N33" s="6" t="s">
        <v>2</v>
      </c>
      <c r="O33" s="7" t="s">
        <v>44</v>
      </c>
    </row>
    <row r="34" spans="1:15" ht="45" x14ac:dyDescent="0.25">
      <c r="A34">
        <v>8379</v>
      </c>
      <c r="B34" s="1">
        <v>12</v>
      </c>
      <c r="C34" s="2" t="s">
        <v>0</v>
      </c>
      <c r="D34">
        <v>2016</v>
      </c>
      <c r="E34" s="1">
        <v>56</v>
      </c>
      <c r="F34" s="3">
        <v>27.7</v>
      </c>
      <c r="G34" s="1">
        <v>9</v>
      </c>
      <c r="H34" s="3">
        <v>-0.48010000000000003</v>
      </c>
      <c r="I34" s="3">
        <v>38.2044</v>
      </c>
      <c r="J34" s="4" t="s">
        <v>1</v>
      </c>
      <c r="K34" s="1">
        <v>4.4000000000000004</v>
      </c>
      <c r="L34" s="5"/>
      <c r="M34" s="3">
        <v>140</v>
      </c>
      <c r="N34" s="6" t="s">
        <v>13</v>
      </c>
      <c r="O34" s="7" t="s">
        <v>45</v>
      </c>
    </row>
    <row r="35" spans="1:15" ht="75" x14ac:dyDescent="0.25">
      <c r="A35">
        <v>8380</v>
      </c>
      <c r="B35" s="1">
        <v>12</v>
      </c>
      <c r="C35" s="2" t="s">
        <v>0</v>
      </c>
      <c r="D35">
        <v>2016</v>
      </c>
      <c r="E35" s="1">
        <v>38</v>
      </c>
      <c r="F35" s="3">
        <v>35.49</v>
      </c>
      <c r="G35" s="1">
        <v>11</v>
      </c>
      <c r="H35" s="3">
        <v>-27.2454</v>
      </c>
      <c r="I35" s="3">
        <v>25.338999999999999</v>
      </c>
      <c r="J35" s="4" t="s">
        <v>1</v>
      </c>
      <c r="K35" s="1">
        <v>4.4000000000000004</v>
      </c>
      <c r="L35" s="5"/>
      <c r="M35" s="3">
        <v>70</v>
      </c>
      <c r="N35" s="6" t="s">
        <v>6</v>
      </c>
      <c r="O35" s="7" t="s">
        <v>46</v>
      </c>
    </row>
    <row r="36" spans="1:15" ht="60" x14ac:dyDescent="0.25">
      <c r="A36">
        <v>8381</v>
      </c>
      <c r="B36" s="1">
        <v>12</v>
      </c>
      <c r="C36" s="2" t="s">
        <v>0</v>
      </c>
      <c r="D36">
        <v>2016</v>
      </c>
      <c r="E36" s="1">
        <v>51</v>
      </c>
      <c r="F36" s="3">
        <v>48.11</v>
      </c>
      <c r="G36" s="1">
        <v>23</v>
      </c>
      <c r="H36" s="3">
        <v>-27.934200000000001</v>
      </c>
      <c r="I36" s="3">
        <v>26.641999999999999</v>
      </c>
      <c r="J36" s="4" t="s">
        <v>1</v>
      </c>
      <c r="K36" s="1">
        <v>4.2</v>
      </c>
      <c r="L36" s="5"/>
      <c r="M36" s="3">
        <v>151</v>
      </c>
      <c r="N36" s="6" t="s">
        <v>6</v>
      </c>
      <c r="O36" s="7" t="s">
        <v>47</v>
      </c>
    </row>
    <row r="37" spans="1:15" ht="45" x14ac:dyDescent="0.25">
      <c r="A37">
        <v>8382</v>
      </c>
      <c r="B37" s="1">
        <v>13</v>
      </c>
      <c r="C37" s="2" t="s">
        <v>0</v>
      </c>
      <c r="D37">
        <v>2016</v>
      </c>
      <c r="E37" s="1">
        <v>27</v>
      </c>
      <c r="F37" s="3">
        <v>57.24</v>
      </c>
      <c r="G37" s="1">
        <v>4</v>
      </c>
      <c r="H37" s="3">
        <v>28.653500000000001</v>
      </c>
      <c r="I37" s="3">
        <v>22.759399999999999</v>
      </c>
      <c r="J37" s="4" t="s">
        <v>1</v>
      </c>
      <c r="K37" s="1">
        <v>3.1</v>
      </c>
      <c r="L37" s="5">
        <v>3.3</v>
      </c>
      <c r="M37" s="3">
        <v>131</v>
      </c>
      <c r="N37" s="6" t="s">
        <v>48</v>
      </c>
      <c r="O37" s="7" t="s">
        <v>49</v>
      </c>
    </row>
    <row r="38" spans="1:15" ht="45" x14ac:dyDescent="0.25">
      <c r="A38">
        <v>8383</v>
      </c>
      <c r="B38" s="8">
        <v>13</v>
      </c>
      <c r="C38" s="2" t="s">
        <v>0</v>
      </c>
      <c r="D38">
        <v>2016</v>
      </c>
      <c r="E38" s="8">
        <v>0</v>
      </c>
      <c r="F38" s="9">
        <v>16.350000000000001</v>
      </c>
      <c r="G38" s="8">
        <v>11</v>
      </c>
      <c r="H38" s="9">
        <v>13.129</v>
      </c>
      <c r="I38" s="9">
        <v>1.6827000000000001</v>
      </c>
      <c r="J38" s="10" t="s">
        <v>1</v>
      </c>
      <c r="K38" s="8">
        <v>4.3</v>
      </c>
      <c r="L38" s="11"/>
      <c r="M38" s="9">
        <v>32</v>
      </c>
      <c r="N38" s="12" t="s">
        <v>15</v>
      </c>
      <c r="O38" s="13" t="s">
        <v>50</v>
      </c>
    </row>
    <row r="39" spans="1:15" ht="90" x14ac:dyDescent="0.25">
      <c r="A39">
        <v>8384</v>
      </c>
      <c r="B39" s="8">
        <v>13</v>
      </c>
      <c r="C39" s="2" t="s">
        <v>0</v>
      </c>
      <c r="D39">
        <v>2016</v>
      </c>
      <c r="E39" s="8">
        <v>45</v>
      </c>
      <c r="F39" s="9">
        <v>23.9</v>
      </c>
      <c r="G39" s="8">
        <v>20</v>
      </c>
      <c r="H39" s="9">
        <v>4.3365999999999998</v>
      </c>
      <c r="I39" s="9">
        <v>-5.4577999999999998</v>
      </c>
      <c r="J39" s="10" t="s">
        <v>1</v>
      </c>
      <c r="K39" s="8">
        <v>4.2</v>
      </c>
      <c r="L39" s="11">
        <v>1.4</v>
      </c>
      <c r="M39" s="9">
        <v>129</v>
      </c>
      <c r="N39" s="12" t="s">
        <v>15</v>
      </c>
      <c r="O39" s="13" t="s">
        <v>51</v>
      </c>
    </row>
    <row r="40" spans="1:15" ht="45" x14ac:dyDescent="0.25">
      <c r="A40">
        <v>8385</v>
      </c>
      <c r="B40" s="8">
        <v>13</v>
      </c>
      <c r="C40" s="2" t="s">
        <v>0</v>
      </c>
      <c r="D40">
        <v>2016</v>
      </c>
      <c r="E40" s="8">
        <v>17</v>
      </c>
      <c r="F40" s="9">
        <v>42.62</v>
      </c>
      <c r="G40" s="8">
        <v>21</v>
      </c>
      <c r="H40" s="9">
        <v>6.7024999999999997</v>
      </c>
      <c r="I40" s="9">
        <v>-5.7207999999999997</v>
      </c>
      <c r="J40" s="10" t="s">
        <v>1</v>
      </c>
      <c r="K40" s="8">
        <v>4.4000000000000004</v>
      </c>
      <c r="L40" s="11"/>
      <c r="M40" s="9">
        <v>173</v>
      </c>
      <c r="N40" s="12" t="s">
        <v>15</v>
      </c>
      <c r="O40" s="13" t="s">
        <v>52</v>
      </c>
    </row>
    <row r="41" spans="1:15" ht="60" x14ac:dyDescent="0.25">
      <c r="A41">
        <v>8386</v>
      </c>
      <c r="B41" s="1">
        <v>13</v>
      </c>
      <c r="C41" s="2" t="s">
        <v>0</v>
      </c>
      <c r="D41">
        <v>2016</v>
      </c>
      <c r="E41" s="1">
        <v>50</v>
      </c>
      <c r="F41" s="3">
        <v>5.0599999999999996</v>
      </c>
      <c r="G41" s="1">
        <v>21</v>
      </c>
      <c r="H41" s="3">
        <v>-27.942299999999999</v>
      </c>
      <c r="I41" s="3">
        <v>24.334199999999999</v>
      </c>
      <c r="J41" s="4" t="s">
        <v>1</v>
      </c>
      <c r="K41" s="1">
        <v>4.5</v>
      </c>
      <c r="L41" s="5"/>
      <c r="M41" s="3">
        <v>21</v>
      </c>
      <c r="N41" s="6" t="s">
        <v>6</v>
      </c>
      <c r="O41" s="20" t="s">
        <v>53</v>
      </c>
    </row>
    <row r="42" spans="1:15" ht="60" x14ac:dyDescent="0.25">
      <c r="A42">
        <v>8387</v>
      </c>
      <c r="B42" s="1">
        <v>14</v>
      </c>
      <c r="C42" s="2" t="s">
        <v>0</v>
      </c>
      <c r="D42">
        <v>2016</v>
      </c>
      <c r="E42" s="1">
        <v>5</v>
      </c>
      <c r="F42" s="3">
        <v>12.76</v>
      </c>
      <c r="G42" s="1">
        <v>1</v>
      </c>
      <c r="H42" s="3">
        <v>-3.7482000000000002</v>
      </c>
      <c r="I42" s="3">
        <v>34.908099999999997</v>
      </c>
      <c r="J42" s="4" t="s">
        <v>1</v>
      </c>
      <c r="K42" s="1">
        <v>3.5</v>
      </c>
      <c r="L42" s="5"/>
      <c r="M42" s="3">
        <v>148</v>
      </c>
      <c r="N42" s="6" t="s">
        <v>54</v>
      </c>
      <c r="O42" s="20" t="s">
        <v>55</v>
      </c>
    </row>
    <row r="43" spans="1:15" ht="75" x14ac:dyDescent="0.25">
      <c r="A43">
        <v>8388</v>
      </c>
      <c r="B43" s="8">
        <v>14</v>
      </c>
      <c r="C43" s="2" t="s">
        <v>0</v>
      </c>
      <c r="D43">
        <v>2016</v>
      </c>
      <c r="E43" s="8">
        <v>51</v>
      </c>
      <c r="F43" s="9">
        <v>50.72</v>
      </c>
      <c r="G43" s="8">
        <v>6</v>
      </c>
      <c r="H43" s="9">
        <v>11.9894</v>
      </c>
      <c r="I43" s="9">
        <v>-10.4924</v>
      </c>
      <c r="J43" s="10" t="s">
        <v>1</v>
      </c>
      <c r="K43" s="8">
        <v>3.8</v>
      </c>
      <c r="L43" s="11"/>
      <c r="M43" s="9">
        <v>97</v>
      </c>
      <c r="N43" s="12" t="s">
        <v>15</v>
      </c>
      <c r="O43" s="20" t="s">
        <v>56</v>
      </c>
    </row>
    <row r="44" spans="1:15" ht="60" x14ac:dyDescent="0.25">
      <c r="A44">
        <v>8389</v>
      </c>
      <c r="B44" s="1">
        <v>14</v>
      </c>
      <c r="C44" s="2" t="s">
        <v>0</v>
      </c>
      <c r="D44">
        <v>2016</v>
      </c>
      <c r="E44" s="1">
        <v>13</v>
      </c>
      <c r="F44" s="3">
        <v>39.89</v>
      </c>
      <c r="G44" s="1">
        <v>14</v>
      </c>
      <c r="H44" s="3">
        <v>8.0112000000000005</v>
      </c>
      <c r="I44" s="3">
        <v>41.680100000000003</v>
      </c>
      <c r="J44" s="4" t="s">
        <v>1</v>
      </c>
      <c r="K44" s="1">
        <v>4.2</v>
      </c>
      <c r="L44" s="5"/>
      <c r="M44" s="3">
        <v>65</v>
      </c>
      <c r="N44" s="6" t="s">
        <v>57</v>
      </c>
      <c r="O44" s="13" t="s">
        <v>58</v>
      </c>
    </row>
    <row r="45" spans="1:15" ht="45" x14ac:dyDescent="0.25">
      <c r="A45">
        <v>8390</v>
      </c>
      <c r="B45" s="1">
        <v>14</v>
      </c>
      <c r="C45" s="2" t="s">
        <v>0</v>
      </c>
      <c r="D45">
        <v>2016</v>
      </c>
      <c r="E45" s="1">
        <v>0</v>
      </c>
      <c r="F45" s="3">
        <v>29.05</v>
      </c>
      <c r="G45" s="1">
        <v>19</v>
      </c>
      <c r="H45" s="3">
        <v>36.081499999999998</v>
      </c>
      <c r="I45" s="3">
        <v>4.0506000000000002</v>
      </c>
      <c r="J45" s="4" t="s">
        <v>1</v>
      </c>
      <c r="K45" s="1">
        <v>3.4</v>
      </c>
      <c r="L45" s="5">
        <v>3.6</v>
      </c>
      <c r="M45" s="3">
        <v>108</v>
      </c>
      <c r="N45" s="6" t="s">
        <v>10</v>
      </c>
      <c r="O45" s="20" t="s">
        <v>59</v>
      </c>
    </row>
    <row r="46" spans="1:15" ht="45" x14ac:dyDescent="0.25">
      <c r="A46">
        <v>8391</v>
      </c>
      <c r="B46" s="1">
        <v>14</v>
      </c>
      <c r="C46" s="2" t="s">
        <v>0</v>
      </c>
      <c r="D46">
        <v>2016</v>
      </c>
      <c r="E46" s="1">
        <v>29</v>
      </c>
      <c r="F46" s="3">
        <v>39.57</v>
      </c>
      <c r="G46" s="1">
        <v>23</v>
      </c>
      <c r="H46" s="3">
        <v>36.408999999999999</v>
      </c>
      <c r="I46" s="3">
        <v>8.7138000000000009</v>
      </c>
      <c r="J46" s="4" t="s">
        <v>1</v>
      </c>
      <c r="K46" s="1">
        <v>3.2</v>
      </c>
      <c r="L46" s="5">
        <v>3.1</v>
      </c>
      <c r="M46" s="3">
        <v>29</v>
      </c>
      <c r="N46" s="6" t="s">
        <v>2</v>
      </c>
      <c r="O46" s="20" t="s">
        <v>60</v>
      </c>
    </row>
    <row r="47" spans="1:15" ht="60" x14ac:dyDescent="0.25">
      <c r="A47">
        <v>8392</v>
      </c>
      <c r="B47" s="1">
        <v>15</v>
      </c>
      <c r="C47" s="2" t="s">
        <v>0</v>
      </c>
      <c r="D47">
        <v>2016</v>
      </c>
      <c r="E47" s="1">
        <v>56</v>
      </c>
      <c r="F47" s="3">
        <v>19.53</v>
      </c>
      <c r="G47" s="1">
        <v>0</v>
      </c>
      <c r="H47" s="3">
        <v>-30.232800000000001</v>
      </c>
      <c r="I47" s="3">
        <v>24.144300000000001</v>
      </c>
      <c r="J47" s="4" t="s">
        <v>1</v>
      </c>
      <c r="K47" s="1">
        <v>3.7</v>
      </c>
      <c r="L47" s="5"/>
      <c r="M47" s="3">
        <v>151</v>
      </c>
      <c r="N47" s="6" t="s">
        <v>6</v>
      </c>
      <c r="O47" s="20" t="s">
        <v>61</v>
      </c>
    </row>
    <row r="48" spans="1:15" ht="60" x14ac:dyDescent="0.25">
      <c r="A48">
        <v>8393</v>
      </c>
      <c r="B48" s="1">
        <v>15</v>
      </c>
      <c r="C48" s="2" t="s">
        <v>0</v>
      </c>
      <c r="D48">
        <v>2016</v>
      </c>
      <c r="E48" s="1">
        <v>57</v>
      </c>
      <c r="F48" s="3">
        <v>44.39</v>
      </c>
      <c r="G48" s="1">
        <v>12</v>
      </c>
      <c r="H48" s="3">
        <v>34.3919</v>
      </c>
      <c r="I48" s="3">
        <v>9.7863000000000007</v>
      </c>
      <c r="J48" s="4" t="s">
        <v>1</v>
      </c>
      <c r="K48" s="1"/>
      <c r="L48" s="5">
        <v>5.8</v>
      </c>
      <c r="M48" s="3">
        <v>64</v>
      </c>
      <c r="N48" s="6" t="s">
        <v>2</v>
      </c>
      <c r="O48" s="20" t="s">
        <v>62</v>
      </c>
    </row>
    <row r="49" spans="1:15" ht="45" x14ac:dyDescent="0.25">
      <c r="A49">
        <v>8394</v>
      </c>
      <c r="B49" s="1">
        <v>15</v>
      </c>
      <c r="C49" s="2" t="s">
        <v>0</v>
      </c>
      <c r="D49">
        <v>2016</v>
      </c>
      <c r="E49" s="1">
        <v>50</v>
      </c>
      <c r="F49" s="3">
        <v>18.350000000000001</v>
      </c>
      <c r="G49" s="1">
        <v>13</v>
      </c>
      <c r="H49" s="3">
        <v>-15.566800000000001</v>
      </c>
      <c r="I49" s="3">
        <v>17.645600000000002</v>
      </c>
      <c r="J49" s="4" t="s">
        <v>1</v>
      </c>
      <c r="K49" s="1">
        <v>4.3</v>
      </c>
      <c r="L49" s="5">
        <v>3.9</v>
      </c>
      <c r="M49" s="3">
        <v>60</v>
      </c>
      <c r="N49" s="6" t="s">
        <v>63</v>
      </c>
      <c r="O49" s="20" t="s">
        <v>64</v>
      </c>
    </row>
    <row r="50" spans="1:15" ht="60" x14ac:dyDescent="0.25">
      <c r="A50">
        <v>8395</v>
      </c>
      <c r="B50" s="1">
        <v>16</v>
      </c>
      <c r="C50" s="2" t="s">
        <v>0</v>
      </c>
      <c r="D50">
        <v>2016</v>
      </c>
      <c r="E50" s="1">
        <v>8</v>
      </c>
      <c r="F50" s="3">
        <v>35.090000000000003</v>
      </c>
      <c r="G50" s="1">
        <v>8</v>
      </c>
      <c r="H50" s="3">
        <v>-26.741800000000001</v>
      </c>
      <c r="I50" s="3">
        <v>27.419599999999999</v>
      </c>
      <c r="J50" s="4" t="s">
        <v>1</v>
      </c>
      <c r="K50" s="1">
        <v>4.2</v>
      </c>
      <c r="L50" s="5">
        <v>3</v>
      </c>
      <c r="M50" s="3">
        <v>129</v>
      </c>
      <c r="N50" s="6" t="s">
        <v>6</v>
      </c>
      <c r="O50" s="20" t="s">
        <v>65</v>
      </c>
    </row>
    <row r="51" spans="1:15" ht="105" x14ac:dyDescent="0.25">
      <c r="A51">
        <v>8396</v>
      </c>
      <c r="B51" s="1">
        <v>16</v>
      </c>
      <c r="C51" s="2" t="s">
        <v>0</v>
      </c>
      <c r="D51">
        <v>2016</v>
      </c>
      <c r="E51" s="1">
        <v>14</v>
      </c>
      <c r="F51" s="3">
        <v>3.33</v>
      </c>
      <c r="G51" s="1">
        <v>11</v>
      </c>
      <c r="H51" s="3">
        <v>-19.527100000000001</v>
      </c>
      <c r="I51" s="3">
        <v>23.514399999999998</v>
      </c>
      <c r="J51" s="4" t="s">
        <v>1</v>
      </c>
      <c r="K51" s="1">
        <v>4</v>
      </c>
      <c r="L51" s="5">
        <v>3.3</v>
      </c>
      <c r="M51" s="3">
        <v>68</v>
      </c>
      <c r="N51" s="6" t="s">
        <v>66</v>
      </c>
      <c r="O51" s="20" t="s">
        <v>67</v>
      </c>
    </row>
    <row r="52" spans="1:15" ht="60" x14ac:dyDescent="0.25">
      <c r="A52">
        <v>8397</v>
      </c>
      <c r="B52" s="1">
        <v>17</v>
      </c>
      <c r="C52" s="2" t="s">
        <v>0</v>
      </c>
      <c r="D52">
        <v>2016</v>
      </c>
      <c r="E52" s="1">
        <v>39</v>
      </c>
      <c r="F52" s="3">
        <v>19.23</v>
      </c>
      <c r="G52" s="1">
        <v>3</v>
      </c>
      <c r="H52" s="3">
        <v>-28.623699999999999</v>
      </c>
      <c r="I52" s="3">
        <v>25.2454</v>
      </c>
      <c r="J52" s="4" t="s">
        <v>1</v>
      </c>
      <c r="K52" s="1">
        <v>4.7</v>
      </c>
      <c r="L52" s="5"/>
      <c r="M52" s="3">
        <v>43</v>
      </c>
      <c r="N52" s="6" t="s">
        <v>6</v>
      </c>
      <c r="O52" s="20" t="s">
        <v>68</v>
      </c>
    </row>
    <row r="53" spans="1:15" ht="60" x14ac:dyDescent="0.25">
      <c r="A53">
        <v>8398</v>
      </c>
      <c r="B53" s="1">
        <v>17</v>
      </c>
      <c r="C53" s="2" t="s">
        <v>0</v>
      </c>
      <c r="D53">
        <v>2016</v>
      </c>
      <c r="E53" s="1">
        <v>19</v>
      </c>
      <c r="F53" s="3">
        <v>52.18</v>
      </c>
      <c r="G53" s="1">
        <v>13</v>
      </c>
      <c r="H53" s="3">
        <v>-28.967400000000001</v>
      </c>
      <c r="I53" s="3">
        <v>25.870200000000001</v>
      </c>
      <c r="J53" s="4" t="s">
        <v>1</v>
      </c>
      <c r="K53" s="1">
        <v>4.3</v>
      </c>
      <c r="L53" s="5"/>
      <c r="M53" s="3">
        <v>49</v>
      </c>
      <c r="N53" s="6" t="s">
        <v>6</v>
      </c>
      <c r="O53" s="20" t="s">
        <v>69</v>
      </c>
    </row>
    <row r="54" spans="1:15" ht="60" x14ac:dyDescent="0.25">
      <c r="A54">
        <v>8399</v>
      </c>
      <c r="B54" s="1">
        <v>18</v>
      </c>
      <c r="C54" s="2" t="s">
        <v>0</v>
      </c>
      <c r="D54">
        <v>2016</v>
      </c>
      <c r="E54" s="1">
        <v>11</v>
      </c>
      <c r="F54" s="3">
        <v>55.13</v>
      </c>
      <c r="G54" s="1">
        <v>15</v>
      </c>
      <c r="H54" s="3">
        <v>-30.664899999999999</v>
      </c>
      <c r="I54" s="3">
        <v>29.487500000000001</v>
      </c>
      <c r="J54" s="4" t="s">
        <v>1</v>
      </c>
      <c r="K54" s="1">
        <v>4.0999999999999996</v>
      </c>
      <c r="L54" s="5">
        <v>2.8</v>
      </c>
      <c r="M54" s="3">
        <v>41</v>
      </c>
      <c r="N54" s="6" t="s">
        <v>6</v>
      </c>
      <c r="O54" s="20" t="s">
        <v>70</v>
      </c>
    </row>
    <row r="55" spans="1:15" ht="90" x14ac:dyDescent="0.25">
      <c r="A55">
        <v>8400</v>
      </c>
      <c r="B55" s="1">
        <v>18</v>
      </c>
      <c r="C55" s="2" t="s">
        <v>0</v>
      </c>
      <c r="D55">
        <v>2016</v>
      </c>
      <c r="E55" s="1">
        <v>50</v>
      </c>
      <c r="F55" s="3">
        <v>16.75</v>
      </c>
      <c r="G55" s="1">
        <v>17</v>
      </c>
      <c r="H55" s="3">
        <v>-17.163</v>
      </c>
      <c r="I55" s="3">
        <v>38.937100000000001</v>
      </c>
      <c r="J55" s="4" t="s">
        <v>1</v>
      </c>
      <c r="K55" s="1">
        <v>4</v>
      </c>
      <c r="L55" s="5"/>
      <c r="M55" s="3">
        <v>18</v>
      </c>
      <c r="N55" s="6" t="s">
        <v>26</v>
      </c>
      <c r="O55" s="20" t="s">
        <v>71</v>
      </c>
    </row>
    <row r="56" spans="1:15" ht="135" x14ac:dyDescent="0.25">
      <c r="A56">
        <v>8401</v>
      </c>
      <c r="B56" s="1">
        <v>19</v>
      </c>
      <c r="C56" s="2" t="s">
        <v>0</v>
      </c>
      <c r="D56">
        <v>2016</v>
      </c>
      <c r="E56" s="1">
        <v>10</v>
      </c>
      <c r="F56" s="3">
        <v>48.49</v>
      </c>
      <c r="G56" s="1">
        <v>2</v>
      </c>
      <c r="H56" s="3">
        <v>23.343399999999999</v>
      </c>
      <c r="I56" s="3">
        <v>27.7941</v>
      </c>
      <c r="J56" s="4" t="s">
        <v>1</v>
      </c>
      <c r="K56" s="1">
        <v>4.0999999999999996</v>
      </c>
      <c r="L56" s="5"/>
      <c r="M56" s="3">
        <v>18</v>
      </c>
      <c r="N56" s="6" t="s">
        <v>72</v>
      </c>
      <c r="O56" s="20" t="s">
        <v>73</v>
      </c>
    </row>
    <row r="57" spans="1:15" ht="60" x14ac:dyDescent="0.25">
      <c r="A57">
        <v>8402</v>
      </c>
      <c r="B57" s="1">
        <v>20</v>
      </c>
      <c r="C57" s="2" t="s">
        <v>0</v>
      </c>
      <c r="D57">
        <v>2016</v>
      </c>
      <c r="E57" s="1">
        <v>57</v>
      </c>
      <c r="F57" s="3">
        <v>6.45</v>
      </c>
      <c r="G57" s="1">
        <v>3</v>
      </c>
      <c r="H57" s="3">
        <v>30.405799999999999</v>
      </c>
      <c r="I57" s="3">
        <v>3.605</v>
      </c>
      <c r="J57" s="4" t="s">
        <v>1</v>
      </c>
      <c r="K57" s="1">
        <v>3.8</v>
      </c>
      <c r="L57" s="5">
        <v>2.9</v>
      </c>
      <c r="M57" s="3">
        <v>102</v>
      </c>
      <c r="N57" s="6" t="s">
        <v>10</v>
      </c>
      <c r="O57" s="20" t="s">
        <v>74</v>
      </c>
    </row>
    <row r="58" spans="1:15" ht="60" x14ac:dyDescent="0.25">
      <c r="A58">
        <v>8403</v>
      </c>
      <c r="B58" s="1">
        <v>20</v>
      </c>
      <c r="C58" s="2" t="s">
        <v>0</v>
      </c>
      <c r="D58">
        <v>2016</v>
      </c>
      <c r="E58" s="1">
        <v>2</v>
      </c>
      <c r="F58" s="3">
        <v>25.72</v>
      </c>
      <c r="G58" s="1">
        <v>4</v>
      </c>
      <c r="H58" s="3">
        <v>-24.803000000000001</v>
      </c>
      <c r="I58" s="3">
        <v>41.395899999999997</v>
      </c>
      <c r="J58" s="4" t="s">
        <v>1</v>
      </c>
      <c r="K58" s="1">
        <v>4.4000000000000004</v>
      </c>
      <c r="L58" s="5"/>
      <c r="M58" s="3">
        <v>71</v>
      </c>
      <c r="N58" s="6" t="s">
        <v>75</v>
      </c>
      <c r="O58" s="20" t="s">
        <v>76</v>
      </c>
    </row>
    <row r="59" spans="1:15" ht="45" x14ac:dyDescent="0.25">
      <c r="A59">
        <v>8404</v>
      </c>
      <c r="B59" s="1">
        <v>20</v>
      </c>
      <c r="C59" s="2" t="s">
        <v>0</v>
      </c>
      <c r="D59">
        <v>2016</v>
      </c>
      <c r="E59" s="1">
        <v>19</v>
      </c>
      <c r="F59" s="3">
        <v>39.47</v>
      </c>
      <c r="G59" s="1">
        <v>10</v>
      </c>
      <c r="H59" s="3">
        <v>36.414099999999998</v>
      </c>
      <c r="I59" s="3">
        <v>4.6172000000000004</v>
      </c>
      <c r="J59" s="4" t="s">
        <v>1</v>
      </c>
      <c r="K59" s="1">
        <v>3.6</v>
      </c>
      <c r="L59" s="5">
        <v>3.4</v>
      </c>
      <c r="M59" s="3">
        <v>9</v>
      </c>
      <c r="N59" s="6" t="s">
        <v>10</v>
      </c>
      <c r="O59" s="20" t="s">
        <v>77</v>
      </c>
    </row>
    <row r="60" spans="1:15" ht="75" x14ac:dyDescent="0.25">
      <c r="A60">
        <v>8405</v>
      </c>
      <c r="B60" s="1">
        <v>21</v>
      </c>
      <c r="C60" s="2" t="s">
        <v>0</v>
      </c>
      <c r="D60">
        <v>2016</v>
      </c>
      <c r="E60" s="1">
        <v>30</v>
      </c>
      <c r="F60" s="3">
        <v>7.53</v>
      </c>
      <c r="G60" s="1">
        <v>12</v>
      </c>
      <c r="H60" s="3">
        <v>-26.466000000000001</v>
      </c>
      <c r="I60" s="3">
        <v>27.8276</v>
      </c>
      <c r="J60" s="4" t="s">
        <v>1</v>
      </c>
      <c r="K60" s="1">
        <v>3.4</v>
      </c>
      <c r="L60" s="5">
        <v>3.4</v>
      </c>
      <c r="M60" s="3">
        <v>119</v>
      </c>
      <c r="N60" s="6" t="s">
        <v>6</v>
      </c>
      <c r="O60" s="20" t="s">
        <v>78</v>
      </c>
    </row>
    <row r="61" spans="1:15" ht="60" x14ac:dyDescent="0.25">
      <c r="A61">
        <v>8406</v>
      </c>
      <c r="B61" s="8">
        <v>21</v>
      </c>
      <c r="C61" s="2" t="s">
        <v>0</v>
      </c>
      <c r="D61">
        <v>2016</v>
      </c>
      <c r="E61" s="8">
        <v>37</v>
      </c>
      <c r="F61" s="9">
        <v>34.590000000000003</v>
      </c>
      <c r="G61" s="8">
        <v>17</v>
      </c>
      <c r="H61" s="9">
        <v>14.6778</v>
      </c>
      <c r="I61" s="9">
        <v>-17.648700000000002</v>
      </c>
      <c r="J61" s="10" t="s">
        <v>1</v>
      </c>
      <c r="K61" s="8">
        <v>4.0999999999999996</v>
      </c>
      <c r="L61" s="11">
        <v>3.4</v>
      </c>
      <c r="M61" s="9">
        <v>174</v>
      </c>
      <c r="N61" s="12" t="s">
        <v>15</v>
      </c>
      <c r="O61" s="13" t="s">
        <v>79</v>
      </c>
    </row>
    <row r="62" spans="1:15" ht="60" x14ac:dyDescent="0.25">
      <c r="A62">
        <v>8407</v>
      </c>
      <c r="B62" s="8">
        <v>21</v>
      </c>
      <c r="C62" s="2" t="s">
        <v>0</v>
      </c>
      <c r="D62">
        <v>2016</v>
      </c>
      <c r="E62" s="8">
        <v>53</v>
      </c>
      <c r="F62" s="9">
        <v>20.04</v>
      </c>
      <c r="G62" s="8">
        <v>17</v>
      </c>
      <c r="H62" s="9">
        <v>5.5037000000000003</v>
      </c>
      <c r="I62" s="9">
        <v>-5.5884</v>
      </c>
      <c r="J62" s="10" t="s">
        <v>1</v>
      </c>
      <c r="K62" s="8">
        <v>3.6</v>
      </c>
      <c r="L62" s="11">
        <v>2.9</v>
      </c>
      <c r="M62" s="9">
        <v>120</v>
      </c>
      <c r="N62" s="12" t="s">
        <v>15</v>
      </c>
      <c r="O62" s="13" t="s">
        <v>80</v>
      </c>
    </row>
    <row r="63" spans="1:15" ht="45" x14ac:dyDescent="0.25">
      <c r="A63">
        <v>8408</v>
      </c>
      <c r="B63" s="8">
        <v>21</v>
      </c>
      <c r="C63" s="2" t="s">
        <v>0</v>
      </c>
      <c r="D63">
        <v>2016</v>
      </c>
      <c r="E63" s="8">
        <v>40</v>
      </c>
      <c r="F63" s="9">
        <v>40.630000000000003</v>
      </c>
      <c r="G63" s="8">
        <v>22</v>
      </c>
      <c r="H63" s="9">
        <v>12.171900000000001</v>
      </c>
      <c r="I63" s="9">
        <v>2.7081</v>
      </c>
      <c r="J63" s="10" t="s">
        <v>1</v>
      </c>
      <c r="K63" s="8">
        <v>4</v>
      </c>
      <c r="L63" s="11"/>
      <c r="M63" s="9">
        <v>115</v>
      </c>
      <c r="N63" s="12" t="s">
        <v>15</v>
      </c>
      <c r="O63" s="13" t="s">
        <v>81</v>
      </c>
    </row>
    <row r="64" spans="1:15" ht="45" x14ac:dyDescent="0.25">
      <c r="A64">
        <v>8409</v>
      </c>
      <c r="B64" s="1">
        <v>22</v>
      </c>
      <c r="C64" s="2" t="s">
        <v>0</v>
      </c>
      <c r="D64">
        <v>2016</v>
      </c>
      <c r="E64" s="1">
        <v>12</v>
      </c>
      <c r="F64" s="3">
        <v>53.27</v>
      </c>
      <c r="G64" s="1">
        <v>8</v>
      </c>
      <c r="H64" s="3">
        <v>-13.47</v>
      </c>
      <c r="I64" s="3">
        <v>31.960799999999999</v>
      </c>
      <c r="J64" s="4" t="s">
        <v>1</v>
      </c>
      <c r="K64" s="1">
        <v>4.2</v>
      </c>
      <c r="L64" s="5">
        <v>3.8</v>
      </c>
      <c r="M64" s="3">
        <v>165</v>
      </c>
      <c r="N64" s="6" t="s">
        <v>82</v>
      </c>
      <c r="O64" s="20" t="s">
        <v>83</v>
      </c>
    </row>
    <row r="65" spans="1:15" ht="45" x14ac:dyDescent="0.25">
      <c r="A65">
        <v>8410</v>
      </c>
      <c r="B65" s="1">
        <v>22</v>
      </c>
      <c r="C65" s="2" t="s">
        <v>0</v>
      </c>
      <c r="D65">
        <v>2016</v>
      </c>
      <c r="E65" s="1">
        <v>42</v>
      </c>
      <c r="F65" s="3">
        <v>45.77</v>
      </c>
      <c r="G65" s="1">
        <v>11</v>
      </c>
      <c r="H65" s="3">
        <v>-25.967400000000001</v>
      </c>
      <c r="I65" s="3">
        <v>22.7667</v>
      </c>
      <c r="J65" s="4" t="s">
        <v>1</v>
      </c>
      <c r="K65" s="1">
        <v>4</v>
      </c>
      <c r="L65" s="5">
        <v>4.5999999999999996</v>
      </c>
      <c r="M65" s="3">
        <v>59</v>
      </c>
      <c r="N65" s="6" t="s">
        <v>66</v>
      </c>
      <c r="O65" s="20" t="s">
        <v>84</v>
      </c>
    </row>
    <row r="66" spans="1:15" ht="75" x14ac:dyDescent="0.25">
      <c r="A66">
        <v>8411</v>
      </c>
      <c r="B66" s="1">
        <v>22</v>
      </c>
      <c r="C66" s="2" t="s">
        <v>0</v>
      </c>
      <c r="D66">
        <v>2016</v>
      </c>
      <c r="E66" s="1">
        <v>16</v>
      </c>
      <c r="F66" s="3">
        <v>6.28</v>
      </c>
      <c r="G66" s="1">
        <v>22</v>
      </c>
      <c r="H66" s="3">
        <v>31.450600000000001</v>
      </c>
      <c r="I66" s="3">
        <v>28.8904</v>
      </c>
      <c r="J66" s="4" t="s">
        <v>1</v>
      </c>
      <c r="K66" s="1">
        <v>3.4</v>
      </c>
      <c r="L66" s="5">
        <v>3.7</v>
      </c>
      <c r="M66" s="3">
        <v>15</v>
      </c>
      <c r="N66" s="6" t="s">
        <v>72</v>
      </c>
      <c r="O66" s="20" t="s">
        <v>85</v>
      </c>
    </row>
    <row r="67" spans="1:15" ht="45" x14ac:dyDescent="0.25">
      <c r="A67">
        <v>8412</v>
      </c>
      <c r="B67" s="8">
        <v>23</v>
      </c>
      <c r="C67" s="2" t="s">
        <v>0</v>
      </c>
      <c r="D67">
        <v>2016</v>
      </c>
      <c r="E67" s="8">
        <v>45</v>
      </c>
      <c r="F67" s="9">
        <v>12.83</v>
      </c>
      <c r="G67" s="8">
        <v>10</v>
      </c>
      <c r="H67" s="9">
        <v>7.4943</v>
      </c>
      <c r="I67" s="9">
        <v>-4.9663000000000004</v>
      </c>
      <c r="J67" s="10" t="s">
        <v>1</v>
      </c>
      <c r="K67" s="8">
        <v>4.0999999999999996</v>
      </c>
      <c r="L67" s="11"/>
      <c r="M67" s="9">
        <v>73</v>
      </c>
      <c r="N67" s="12" t="s">
        <v>15</v>
      </c>
      <c r="O67" s="13" t="s">
        <v>86</v>
      </c>
    </row>
    <row r="68" spans="1:15" ht="105" x14ac:dyDescent="0.25">
      <c r="A68">
        <v>8413</v>
      </c>
      <c r="B68" s="8">
        <v>23</v>
      </c>
      <c r="C68" s="2" t="s">
        <v>0</v>
      </c>
      <c r="D68">
        <v>2016</v>
      </c>
      <c r="E68" s="8">
        <v>47</v>
      </c>
      <c r="F68" s="9">
        <v>12.6</v>
      </c>
      <c r="G68" s="8">
        <v>18</v>
      </c>
      <c r="H68" s="9">
        <v>4.9419000000000004</v>
      </c>
      <c r="I68" s="9">
        <v>-3.3738000000000001</v>
      </c>
      <c r="J68" s="10" t="s">
        <v>1</v>
      </c>
      <c r="K68" s="8">
        <v>4</v>
      </c>
      <c r="L68" s="11"/>
      <c r="M68" s="9">
        <v>29</v>
      </c>
      <c r="N68" s="12" t="s">
        <v>15</v>
      </c>
      <c r="O68" s="13" t="s">
        <v>87</v>
      </c>
    </row>
    <row r="69" spans="1:15" ht="45" x14ac:dyDescent="0.25">
      <c r="A69">
        <v>8414</v>
      </c>
      <c r="B69" s="8">
        <v>24</v>
      </c>
      <c r="C69" s="2" t="s">
        <v>0</v>
      </c>
      <c r="D69">
        <v>2016</v>
      </c>
      <c r="E69" s="8">
        <v>18</v>
      </c>
      <c r="F69" s="9">
        <v>23.31</v>
      </c>
      <c r="G69" s="8">
        <v>3</v>
      </c>
      <c r="H69" s="9">
        <v>6.5503</v>
      </c>
      <c r="I69" s="9">
        <v>-6.3018000000000001</v>
      </c>
      <c r="J69" s="10" t="s">
        <v>1</v>
      </c>
      <c r="K69" s="8">
        <v>4.5</v>
      </c>
      <c r="L69" s="11"/>
      <c r="M69" s="9">
        <v>167</v>
      </c>
      <c r="N69" s="12" t="s">
        <v>15</v>
      </c>
      <c r="O69" s="13" t="s">
        <v>88</v>
      </c>
    </row>
    <row r="70" spans="1:15" ht="60" x14ac:dyDescent="0.25">
      <c r="A70">
        <v>8415</v>
      </c>
      <c r="B70" s="1">
        <v>24</v>
      </c>
      <c r="C70" s="2" t="s">
        <v>0</v>
      </c>
      <c r="D70">
        <v>2016</v>
      </c>
      <c r="E70" s="1">
        <v>16</v>
      </c>
      <c r="F70" s="3">
        <v>34.74</v>
      </c>
      <c r="G70" s="1">
        <v>7</v>
      </c>
      <c r="H70" s="3">
        <v>-28.581099999999999</v>
      </c>
      <c r="I70" s="3">
        <v>25.1022</v>
      </c>
      <c r="J70" s="4" t="s">
        <v>1</v>
      </c>
      <c r="K70" s="1">
        <v>4.0999999999999996</v>
      </c>
      <c r="L70" s="5"/>
      <c r="M70" s="3">
        <v>104</v>
      </c>
      <c r="N70" s="6" t="s">
        <v>6</v>
      </c>
      <c r="O70" s="20" t="s">
        <v>68</v>
      </c>
    </row>
    <row r="71" spans="1:15" ht="60" x14ac:dyDescent="0.25">
      <c r="A71">
        <v>8416</v>
      </c>
      <c r="B71" s="1">
        <v>24</v>
      </c>
      <c r="C71" s="2" t="s">
        <v>0</v>
      </c>
      <c r="D71">
        <v>2016</v>
      </c>
      <c r="E71" s="1">
        <v>21</v>
      </c>
      <c r="F71" s="3">
        <v>8.1300000000000008</v>
      </c>
      <c r="G71" s="1">
        <v>11</v>
      </c>
      <c r="H71" s="3">
        <v>-24.6708</v>
      </c>
      <c r="I71" s="3">
        <v>31.205400000000001</v>
      </c>
      <c r="J71" s="4" t="s">
        <v>1</v>
      </c>
      <c r="K71" s="1">
        <v>4.0999999999999996</v>
      </c>
      <c r="L71" s="5">
        <v>3.6</v>
      </c>
      <c r="M71" s="3">
        <v>128</v>
      </c>
      <c r="N71" s="6" t="s">
        <v>6</v>
      </c>
      <c r="O71" s="20" t="s">
        <v>89</v>
      </c>
    </row>
    <row r="72" spans="1:15" ht="60" x14ac:dyDescent="0.25">
      <c r="A72">
        <v>8417</v>
      </c>
      <c r="B72" s="1">
        <v>24</v>
      </c>
      <c r="C72" s="2" t="s">
        <v>0</v>
      </c>
      <c r="D72">
        <v>2016</v>
      </c>
      <c r="E72" s="1">
        <v>44</v>
      </c>
      <c r="F72" s="3">
        <v>23.51</v>
      </c>
      <c r="G72" s="1">
        <v>12</v>
      </c>
      <c r="H72" s="3">
        <v>-25.709399999999999</v>
      </c>
      <c r="I72" s="3">
        <v>32.343400000000003</v>
      </c>
      <c r="J72" s="4" t="s">
        <v>1</v>
      </c>
      <c r="K72" s="1">
        <v>3.5</v>
      </c>
      <c r="L72" s="5">
        <v>3.9</v>
      </c>
      <c r="M72" s="3">
        <v>177</v>
      </c>
      <c r="N72" s="6" t="s">
        <v>26</v>
      </c>
      <c r="O72" s="20" t="s">
        <v>90</v>
      </c>
    </row>
    <row r="73" spans="1:15" ht="60" x14ac:dyDescent="0.25">
      <c r="A73">
        <v>8418</v>
      </c>
      <c r="B73" s="1">
        <v>24</v>
      </c>
      <c r="C73" s="2" t="s">
        <v>0</v>
      </c>
      <c r="D73">
        <v>2016</v>
      </c>
      <c r="E73" s="1">
        <v>38</v>
      </c>
      <c r="F73" s="3">
        <v>16.34</v>
      </c>
      <c r="G73" s="1">
        <v>17</v>
      </c>
      <c r="H73" s="3">
        <v>-28.733599999999999</v>
      </c>
      <c r="I73" s="3">
        <v>25.385000000000002</v>
      </c>
      <c r="J73" s="4" t="s">
        <v>1</v>
      </c>
      <c r="K73" s="1">
        <v>4</v>
      </c>
      <c r="L73" s="5"/>
      <c r="M73" s="3">
        <v>139</v>
      </c>
      <c r="N73" s="6" t="s">
        <v>6</v>
      </c>
      <c r="O73" s="20" t="s">
        <v>68</v>
      </c>
    </row>
    <row r="74" spans="1:15" ht="30" x14ac:dyDescent="0.25">
      <c r="A74">
        <v>8419</v>
      </c>
      <c r="B74" s="1">
        <v>24</v>
      </c>
      <c r="C74" s="2" t="s">
        <v>0</v>
      </c>
      <c r="D74">
        <v>2016</v>
      </c>
      <c r="E74" s="1">
        <v>52</v>
      </c>
      <c r="F74" s="3">
        <v>28.47</v>
      </c>
      <c r="G74" s="1">
        <v>22</v>
      </c>
      <c r="H74" s="3">
        <v>-0.6966</v>
      </c>
      <c r="I74" s="3">
        <v>36.817700000000002</v>
      </c>
      <c r="J74" s="4" t="s">
        <v>1</v>
      </c>
      <c r="K74" s="1">
        <v>4</v>
      </c>
      <c r="L74" s="5"/>
      <c r="M74" s="3">
        <v>139</v>
      </c>
      <c r="N74" s="6" t="s">
        <v>13</v>
      </c>
      <c r="O74" s="20" t="s">
        <v>91</v>
      </c>
    </row>
    <row r="75" spans="1:15" ht="45" x14ac:dyDescent="0.25">
      <c r="A75">
        <v>8420</v>
      </c>
      <c r="B75" s="1">
        <v>25</v>
      </c>
      <c r="C75" s="2" t="s">
        <v>0</v>
      </c>
      <c r="D75">
        <v>2016</v>
      </c>
      <c r="E75" s="1">
        <v>33</v>
      </c>
      <c r="F75" s="3">
        <v>14.23</v>
      </c>
      <c r="G75" s="1">
        <v>15</v>
      </c>
      <c r="H75" s="3">
        <v>-8.9009</v>
      </c>
      <c r="I75" s="3">
        <v>28.882999999999999</v>
      </c>
      <c r="J75" s="4" t="s">
        <v>1</v>
      </c>
      <c r="K75" s="1">
        <v>4.2</v>
      </c>
      <c r="L75" s="5"/>
      <c r="M75" s="3">
        <v>6</v>
      </c>
      <c r="N75" s="6" t="s">
        <v>8</v>
      </c>
      <c r="O75" s="20" t="s">
        <v>92</v>
      </c>
    </row>
    <row r="76" spans="1:15" ht="45" x14ac:dyDescent="0.25">
      <c r="A76">
        <v>8421</v>
      </c>
      <c r="B76" s="1">
        <v>25</v>
      </c>
      <c r="C76" s="2" t="s">
        <v>0</v>
      </c>
      <c r="D76">
        <v>2016</v>
      </c>
      <c r="E76" s="1">
        <v>56</v>
      </c>
      <c r="F76" s="3">
        <v>3.59</v>
      </c>
      <c r="G76" s="1">
        <v>17</v>
      </c>
      <c r="H76" s="3">
        <v>37.182600000000001</v>
      </c>
      <c r="I76" s="3">
        <v>10.457000000000001</v>
      </c>
      <c r="J76" s="4" t="s">
        <v>1</v>
      </c>
      <c r="K76" s="1">
        <v>3.4</v>
      </c>
      <c r="L76" s="5">
        <v>3.7</v>
      </c>
      <c r="M76" s="3">
        <v>141</v>
      </c>
      <c r="N76" s="6" t="s">
        <v>2</v>
      </c>
      <c r="O76" s="20" t="s">
        <v>93</v>
      </c>
    </row>
    <row r="77" spans="1:15" ht="60" x14ac:dyDescent="0.25">
      <c r="A77">
        <v>8422</v>
      </c>
      <c r="B77" s="1">
        <v>26</v>
      </c>
      <c r="C77" s="2" t="s">
        <v>0</v>
      </c>
      <c r="D77">
        <v>2016</v>
      </c>
      <c r="E77" s="1">
        <v>55</v>
      </c>
      <c r="F77" s="3">
        <v>16.739999999999998</v>
      </c>
      <c r="G77" s="1">
        <v>3</v>
      </c>
      <c r="H77" s="3">
        <v>-23.8934</v>
      </c>
      <c r="I77" s="3">
        <v>29.193100000000001</v>
      </c>
      <c r="J77" s="4" t="s">
        <v>1</v>
      </c>
      <c r="K77" s="1">
        <v>3.8</v>
      </c>
      <c r="L77" s="5">
        <v>3</v>
      </c>
      <c r="M77" s="3">
        <v>117</v>
      </c>
      <c r="N77" s="6" t="s">
        <v>6</v>
      </c>
      <c r="O77" s="20" t="s">
        <v>94</v>
      </c>
    </row>
    <row r="78" spans="1:15" ht="60" x14ac:dyDescent="0.25">
      <c r="A78">
        <v>8423</v>
      </c>
      <c r="B78" s="1">
        <v>26</v>
      </c>
      <c r="C78" s="2" t="s">
        <v>0</v>
      </c>
      <c r="D78">
        <v>2016</v>
      </c>
      <c r="E78" s="1">
        <v>45</v>
      </c>
      <c r="F78" s="3">
        <v>14.49</v>
      </c>
      <c r="G78" s="1">
        <v>14</v>
      </c>
      <c r="H78" s="3">
        <v>-23.334700000000002</v>
      </c>
      <c r="I78" s="3">
        <v>30.6539</v>
      </c>
      <c r="J78" s="4" t="s">
        <v>1</v>
      </c>
      <c r="K78" s="1">
        <v>4.0999999999999996</v>
      </c>
      <c r="L78" s="5">
        <v>3.2</v>
      </c>
      <c r="M78" s="3">
        <v>129</v>
      </c>
      <c r="N78" s="6" t="s">
        <v>6</v>
      </c>
      <c r="O78" s="20" t="s">
        <v>95</v>
      </c>
    </row>
    <row r="79" spans="1:15" ht="30" x14ac:dyDescent="0.25">
      <c r="A79">
        <v>8424</v>
      </c>
      <c r="B79" s="1">
        <v>27</v>
      </c>
      <c r="C79" s="2" t="s">
        <v>0</v>
      </c>
      <c r="D79">
        <v>2016</v>
      </c>
      <c r="E79" s="1">
        <v>20</v>
      </c>
      <c r="F79" s="3">
        <v>5.42</v>
      </c>
      <c r="G79" s="1">
        <v>6</v>
      </c>
      <c r="H79" s="3">
        <v>-5.2294</v>
      </c>
      <c r="I79" s="3">
        <v>35.022599999999997</v>
      </c>
      <c r="J79" s="4" t="s">
        <v>1</v>
      </c>
      <c r="K79" s="1">
        <v>3.7</v>
      </c>
      <c r="L79" s="5">
        <v>3.7</v>
      </c>
      <c r="M79" s="3">
        <v>138</v>
      </c>
      <c r="N79" s="6" t="s">
        <v>96</v>
      </c>
      <c r="O79" s="20" t="s">
        <v>97</v>
      </c>
    </row>
    <row r="80" spans="1:15" ht="105" x14ac:dyDescent="0.25">
      <c r="A80">
        <v>8425</v>
      </c>
      <c r="B80" s="1">
        <v>29</v>
      </c>
      <c r="C80" s="2" t="s">
        <v>0</v>
      </c>
      <c r="D80">
        <v>2016</v>
      </c>
      <c r="E80" s="1">
        <v>56</v>
      </c>
      <c r="F80" s="3">
        <v>6.86</v>
      </c>
      <c r="G80" s="1">
        <v>10</v>
      </c>
      <c r="H80" s="3">
        <v>2.0998999999999999</v>
      </c>
      <c r="I80" s="3">
        <v>4.8898999999999999</v>
      </c>
      <c r="J80" s="4" t="s">
        <v>1</v>
      </c>
      <c r="K80" s="1">
        <v>4.5</v>
      </c>
      <c r="L80" s="5">
        <v>3</v>
      </c>
      <c r="M80" s="3">
        <v>74</v>
      </c>
      <c r="N80" s="6" t="s">
        <v>98</v>
      </c>
      <c r="O80" s="20" t="s">
        <v>99</v>
      </c>
    </row>
    <row r="81" spans="1:15" ht="75" x14ac:dyDescent="0.25">
      <c r="A81">
        <v>8426</v>
      </c>
      <c r="B81" s="1">
        <v>29</v>
      </c>
      <c r="C81" s="2" t="s">
        <v>0</v>
      </c>
      <c r="D81">
        <v>2016</v>
      </c>
      <c r="E81" s="1">
        <v>53</v>
      </c>
      <c r="F81" s="3">
        <v>32.46</v>
      </c>
      <c r="G81" s="1">
        <v>12</v>
      </c>
      <c r="H81" s="3">
        <v>-27.3901</v>
      </c>
      <c r="I81" s="3">
        <v>22.937200000000001</v>
      </c>
      <c r="J81" s="4" t="s">
        <v>1</v>
      </c>
      <c r="K81" s="1">
        <v>4</v>
      </c>
      <c r="L81" s="5">
        <v>3.1</v>
      </c>
      <c r="M81" s="3">
        <v>21</v>
      </c>
      <c r="N81" s="6" t="s">
        <v>100</v>
      </c>
      <c r="O81" s="20" t="s">
        <v>101</v>
      </c>
    </row>
    <row r="82" spans="1:15" ht="45" x14ac:dyDescent="0.25">
      <c r="A82">
        <v>8427</v>
      </c>
      <c r="B82" s="8">
        <v>29</v>
      </c>
      <c r="C82" s="2" t="s">
        <v>0</v>
      </c>
      <c r="D82">
        <v>2016</v>
      </c>
      <c r="E82" s="8">
        <v>29</v>
      </c>
      <c r="F82" s="9">
        <v>36.67</v>
      </c>
      <c r="G82" s="8">
        <v>13</v>
      </c>
      <c r="H82" s="9">
        <v>12.8553</v>
      </c>
      <c r="I82" s="9">
        <v>1.3383</v>
      </c>
      <c r="J82" s="10" t="s">
        <v>1</v>
      </c>
      <c r="K82" s="8">
        <v>4</v>
      </c>
      <c r="L82" s="11"/>
      <c r="M82" s="9">
        <v>47</v>
      </c>
      <c r="N82" s="12" t="s">
        <v>15</v>
      </c>
      <c r="O82" s="13" t="s">
        <v>102</v>
      </c>
    </row>
    <row r="83" spans="1:15" ht="60" x14ac:dyDescent="0.25">
      <c r="A83">
        <v>8428</v>
      </c>
      <c r="B83" s="1">
        <v>1</v>
      </c>
      <c r="C83" s="21" t="s">
        <v>103</v>
      </c>
      <c r="D83">
        <v>2016</v>
      </c>
      <c r="E83" s="1">
        <v>35</v>
      </c>
      <c r="F83" s="3">
        <v>30.77</v>
      </c>
      <c r="G83" s="1">
        <v>12</v>
      </c>
      <c r="H83" s="3">
        <f>H72-28.5879</f>
        <v>-54.2973</v>
      </c>
      <c r="I83" s="3">
        <v>25.096699999999998</v>
      </c>
      <c r="J83" s="4" t="s">
        <v>1</v>
      </c>
      <c r="K83" s="1">
        <v>3.9</v>
      </c>
      <c r="L83" s="5"/>
      <c r="M83" s="3">
        <v>101</v>
      </c>
      <c r="N83" s="6" t="s">
        <v>6</v>
      </c>
      <c r="O83" s="7" t="s">
        <v>104</v>
      </c>
    </row>
    <row r="84" spans="1:15" ht="45" x14ac:dyDescent="0.25">
      <c r="A84">
        <v>8429</v>
      </c>
      <c r="B84" s="8">
        <v>1</v>
      </c>
      <c r="C84" s="21" t="s">
        <v>103</v>
      </c>
      <c r="D84">
        <v>2016</v>
      </c>
      <c r="E84" s="8">
        <v>28</v>
      </c>
      <c r="F84" s="9">
        <v>10.72</v>
      </c>
      <c r="G84" s="8">
        <v>19</v>
      </c>
      <c r="H84" s="9">
        <v>8.2956000000000003</v>
      </c>
      <c r="I84" s="9">
        <v>10.0246</v>
      </c>
      <c r="J84" s="10" t="s">
        <v>1</v>
      </c>
      <c r="K84" s="8">
        <v>4.3</v>
      </c>
      <c r="L84" s="11"/>
      <c r="M84" s="9">
        <v>77</v>
      </c>
      <c r="N84" s="12" t="s">
        <v>15</v>
      </c>
      <c r="O84" s="13" t="s">
        <v>105</v>
      </c>
    </row>
    <row r="85" spans="1:15" ht="60" x14ac:dyDescent="0.25">
      <c r="A85">
        <v>8430</v>
      </c>
      <c r="B85" s="1">
        <v>2</v>
      </c>
      <c r="C85" s="21" t="s">
        <v>103</v>
      </c>
      <c r="D85">
        <v>2016</v>
      </c>
      <c r="E85" s="1">
        <v>23</v>
      </c>
      <c r="F85" s="3">
        <v>4.87</v>
      </c>
      <c r="G85" s="1">
        <v>17</v>
      </c>
      <c r="H85" s="3">
        <v>-34.041899999999998</v>
      </c>
      <c r="I85" s="3">
        <v>19.1267</v>
      </c>
      <c r="J85" s="4" t="s">
        <v>1</v>
      </c>
      <c r="K85" s="1">
        <v>4</v>
      </c>
      <c r="L85" s="5">
        <v>2.5</v>
      </c>
      <c r="M85" s="3">
        <v>126</v>
      </c>
      <c r="N85" s="6" t="s">
        <v>6</v>
      </c>
      <c r="O85" s="7" t="s">
        <v>106</v>
      </c>
    </row>
    <row r="86" spans="1:15" ht="45" x14ac:dyDescent="0.25">
      <c r="A86">
        <v>8431</v>
      </c>
      <c r="B86" s="1">
        <v>2</v>
      </c>
      <c r="C86" s="21" t="s">
        <v>103</v>
      </c>
      <c r="D86">
        <v>2016</v>
      </c>
      <c r="E86" s="1">
        <v>25</v>
      </c>
      <c r="F86" s="3">
        <v>21.24</v>
      </c>
      <c r="G86" s="1">
        <v>22</v>
      </c>
      <c r="H86" s="3">
        <v>-10.4246</v>
      </c>
      <c r="I86" s="3">
        <v>38.405500000000004</v>
      </c>
      <c r="J86" s="4" t="s">
        <v>1</v>
      </c>
      <c r="K86" s="1">
        <v>3.9</v>
      </c>
      <c r="L86" s="5"/>
      <c r="M86" s="3">
        <v>114</v>
      </c>
      <c r="N86" s="6" t="s">
        <v>96</v>
      </c>
      <c r="O86" s="7" t="s">
        <v>107</v>
      </c>
    </row>
    <row r="87" spans="1:15" ht="45" x14ac:dyDescent="0.25">
      <c r="A87">
        <v>8432</v>
      </c>
      <c r="B87" s="8">
        <v>3</v>
      </c>
      <c r="C87" s="21" t="s">
        <v>103</v>
      </c>
      <c r="D87">
        <v>2016</v>
      </c>
      <c r="E87" s="8">
        <v>18</v>
      </c>
      <c r="F87" s="9">
        <v>49.01</v>
      </c>
      <c r="G87" s="8">
        <v>16</v>
      </c>
      <c r="H87" s="9">
        <v>13.4931</v>
      </c>
      <c r="I87" s="9">
        <v>-1.6306</v>
      </c>
      <c r="J87" s="10" t="s">
        <v>1</v>
      </c>
      <c r="K87" s="8"/>
      <c r="L87" s="11">
        <v>2</v>
      </c>
      <c r="M87" s="9">
        <v>148</v>
      </c>
      <c r="N87" s="12" t="s">
        <v>15</v>
      </c>
      <c r="O87" s="13" t="s">
        <v>108</v>
      </c>
    </row>
    <row r="88" spans="1:15" ht="45" x14ac:dyDescent="0.25">
      <c r="A88">
        <v>8433</v>
      </c>
      <c r="B88" s="8">
        <v>4</v>
      </c>
      <c r="C88" s="21" t="s">
        <v>103</v>
      </c>
      <c r="D88">
        <v>2016</v>
      </c>
      <c r="E88" s="8">
        <v>0</v>
      </c>
      <c r="F88" s="9">
        <v>2.62</v>
      </c>
      <c r="G88" s="8">
        <v>5</v>
      </c>
      <c r="H88" s="9">
        <v>12.2905</v>
      </c>
      <c r="I88" s="9">
        <v>0.58979999999999999</v>
      </c>
      <c r="J88" s="10" t="s">
        <v>1</v>
      </c>
      <c r="K88" s="8">
        <v>3.8</v>
      </c>
      <c r="L88" s="11"/>
      <c r="M88" s="9">
        <v>125</v>
      </c>
      <c r="N88" s="12" t="s">
        <v>15</v>
      </c>
      <c r="O88" s="13" t="s">
        <v>109</v>
      </c>
    </row>
    <row r="89" spans="1:15" ht="45" x14ac:dyDescent="0.25">
      <c r="A89">
        <v>8434</v>
      </c>
      <c r="B89" s="1">
        <v>4</v>
      </c>
      <c r="C89" s="21" t="s">
        <v>103</v>
      </c>
      <c r="D89">
        <v>2016</v>
      </c>
      <c r="E89" s="1">
        <v>58</v>
      </c>
      <c r="F89" s="3">
        <v>54.46</v>
      </c>
      <c r="G89" s="1">
        <v>10</v>
      </c>
      <c r="H89" s="3">
        <v>25.483499999999999</v>
      </c>
      <c r="I89" s="3">
        <v>-3.7610000000000001</v>
      </c>
      <c r="J89" s="4" t="s">
        <v>1</v>
      </c>
      <c r="K89" s="1">
        <v>4.3</v>
      </c>
      <c r="L89" s="5">
        <v>3.7</v>
      </c>
      <c r="M89" s="3">
        <v>121</v>
      </c>
      <c r="N89" s="6" t="s">
        <v>110</v>
      </c>
      <c r="O89" s="7" t="s">
        <v>111</v>
      </c>
    </row>
    <row r="90" spans="1:15" ht="60" x14ac:dyDescent="0.25">
      <c r="A90">
        <v>8435</v>
      </c>
      <c r="B90" s="1">
        <v>5</v>
      </c>
      <c r="C90" s="21" t="s">
        <v>103</v>
      </c>
      <c r="D90">
        <v>2016</v>
      </c>
      <c r="E90" s="1">
        <v>23</v>
      </c>
      <c r="F90" s="3">
        <v>30.5</v>
      </c>
      <c r="G90" s="1">
        <v>12</v>
      </c>
      <c r="H90" s="3">
        <v>-27.327300000000001</v>
      </c>
      <c r="I90" s="3">
        <v>27.5593</v>
      </c>
      <c r="J90" s="4" t="s">
        <v>1</v>
      </c>
      <c r="K90" s="1"/>
      <c r="L90" s="5">
        <v>2.5</v>
      </c>
      <c r="M90" s="3">
        <v>148</v>
      </c>
      <c r="N90" s="6" t="s">
        <v>6</v>
      </c>
      <c r="O90" s="7" t="s">
        <v>112</v>
      </c>
    </row>
    <row r="91" spans="1:15" ht="60" x14ac:dyDescent="0.25">
      <c r="A91">
        <v>8436</v>
      </c>
      <c r="B91" s="1">
        <v>5</v>
      </c>
      <c r="C91" s="21" t="s">
        <v>103</v>
      </c>
      <c r="D91">
        <v>2016</v>
      </c>
      <c r="E91" s="1">
        <v>42</v>
      </c>
      <c r="F91" s="3">
        <v>17.850000000000001</v>
      </c>
      <c r="G91" s="1">
        <v>15</v>
      </c>
      <c r="H91" s="3">
        <v>-29.671099999999999</v>
      </c>
      <c r="I91" s="3">
        <v>26.163499999999999</v>
      </c>
      <c r="J91" s="4" t="s">
        <v>1</v>
      </c>
      <c r="K91" s="1"/>
      <c r="L91" s="5"/>
      <c r="M91" s="3">
        <v>52</v>
      </c>
      <c r="N91" s="6" t="s">
        <v>6</v>
      </c>
      <c r="O91" s="7" t="s">
        <v>113</v>
      </c>
    </row>
    <row r="92" spans="1:15" ht="60" x14ac:dyDescent="0.25">
      <c r="A92">
        <v>8437</v>
      </c>
      <c r="B92" s="1">
        <v>6</v>
      </c>
      <c r="C92" s="21" t="s">
        <v>103</v>
      </c>
      <c r="D92">
        <v>2016</v>
      </c>
      <c r="E92" s="1">
        <v>54</v>
      </c>
      <c r="F92" s="3">
        <v>23.81</v>
      </c>
      <c r="G92" s="1">
        <v>12</v>
      </c>
      <c r="H92" s="3">
        <v>-29.230799999999999</v>
      </c>
      <c r="I92" s="3">
        <v>26.5383</v>
      </c>
      <c r="J92" s="4" t="s">
        <v>1</v>
      </c>
      <c r="K92" s="1">
        <v>4.4000000000000004</v>
      </c>
      <c r="L92" s="5"/>
      <c r="M92" s="3">
        <v>25</v>
      </c>
      <c r="N92" s="6" t="s">
        <v>6</v>
      </c>
      <c r="O92" s="7" t="s">
        <v>69</v>
      </c>
    </row>
    <row r="93" spans="1:15" ht="75" x14ac:dyDescent="0.25">
      <c r="A93">
        <v>8438</v>
      </c>
      <c r="B93" s="1">
        <v>6</v>
      </c>
      <c r="C93" s="21" t="s">
        <v>103</v>
      </c>
      <c r="D93">
        <v>2016</v>
      </c>
      <c r="E93" s="1">
        <v>13</v>
      </c>
      <c r="F93" s="3">
        <v>24.85</v>
      </c>
      <c r="G93" s="1">
        <v>14</v>
      </c>
      <c r="H93" s="3">
        <v>-18.133199999999999</v>
      </c>
      <c r="I93" s="3">
        <v>40.335999999999999</v>
      </c>
      <c r="J93" s="4" t="s">
        <v>1</v>
      </c>
      <c r="K93" s="1">
        <v>3.8</v>
      </c>
      <c r="L93" s="5">
        <v>4.0999999999999996</v>
      </c>
      <c r="M93" s="3">
        <v>114</v>
      </c>
      <c r="N93" s="6" t="s">
        <v>114</v>
      </c>
      <c r="O93" s="7" t="s">
        <v>114</v>
      </c>
    </row>
    <row r="94" spans="1:15" ht="45" x14ac:dyDescent="0.25">
      <c r="A94">
        <v>8439</v>
      </c>
      <c r="B94" s="1">
        <v>6</v>
      </c>
      <c r="C94" s="21" t="s">
        <v>103</v>
      </c>
      <c r="D94">
        <v>2016</v>
      </c>
      <c r="E94" s="1">
        <v>52</v>
      </c>
      <c r="F94" s="3">
        <v>28.84</v>
      </c>
      <c r="G94" s="1">
        <v>20</v>
      </c>
      <c r="H94" s="3">
        <v>36.331699999999998</v>
      </c>
      <c r="I94" s="3">
        <v>3.6549</v>
      </c>
      <c r="J94" s="4" t="s">
        <v>1</v>
      </c>
      <c r="K94" s="1">
        <v>4</v>
      </c>
      <c r="L94" s="5">
        <v>4.5999999999999996</v>
      </c>
      <c r="M94" s="3">
        <v>126</v>
      </c>
      <c r="N94" s="6" t="s">
        <v>10</v>
      </c>
      <c r="O94" s="7" t="s">
        <v>115</v>
      </c>
    </row>
    <row r="95" spans="1:15" ht="60" x14ac:dyDescent="0.25">
      <c r="A95">
        <v>8440</v>
      </c>
      <c r="B95" s="1">
        <v>7</v>
      </c>
      <c r="C95" s="21" t="s">
        <v>103</v>
      </c>
      <c r="D95">
        <v>2016</v>
      </c>
      <c r="E95" s="1">
        <v>30</v>
      </c>
      <c r="F95" s="3">
        <v>50.06</v>
      </c>
      <c r="G95" s="1">
        <v>12</v>
      </c>
      <c r="H95" s="3">
        <v>-8.1800999999999995</v>
      </c>
      <c r="I95" s="3">
        <v>33.7821</v>
      </c>
      <c r="J95" s="4" t="s">
        <v>1</v>
      </c>
      <c r="K95" s="1"/>
      <c r="L95" s="5">
        <v>3.6</v>
      </c>
      <c r="M95" s="3">
        <v>115</v>
      </c>
      <c r="N95" s="6" t="s">
        <v>96</v>
      </c>
      <c r="O95" s="7" t="s">
        <v>116</v>
      </c>
    </row>
    <row r="96" spans="1:15" ht="45" x14ac:dyDescent="0.25">
      <c r="A96">
        <v>8441</v>
      </c>
      <c r="B96" s="1">
        <v>7</v>
      </c>
      <c r="C96" s="21" t="s">
        <v>103</v>
      </c>
      <c r="D96">
        <v>2016</v>
      </c>
      <c r="E96" s="1">
        <v>36</v>
      </c>
      <c r="F96" s="3">
        <v>13.84</v>
      </c>
      <c r="G96" s="1">
        <v>21</v>
      </c>
      <c r="H96" s="3">
        <v>20.9941</v>
      </c>
      <c r="I96" s="3">
        <v>32.691899999999997</v>
      </c>
      <c r="J96" s="4" t="s">
        <v>1</v>
      </c>
      <c r="K96" s="1">
        <v>4.0999999999999996</v>
      </c>
      <c r="L96" s="5"/>
      <c r="M96" s="3">
        <v>10</v>
      </c>
      <c r="N96" s="6" t="s">
        <v>117</v>
      </c>
      <c r="O96" s="7" t="s">
        <v>118</v>
      </c>
    </row>
    <row r="97" spans="1:15" ht="90" x14ac:dyDescent="0.25">
      <c r="A97">
        <v>8442</v>
      </c>
      <c r="B97" s="8">
        <v>8</v>
      </c>
      <c r="C97" s="21" t="s">
        <v>103</v>
      </c>
      <c r="D97">
        <v>2016</v>
      </c>
      <c r="E97" s="8">
        <v>53</v>
      </c>
      <c r="F97" s="9">
        <v>7.87</v>
      </c>
      <c r="G97" s="8">
        <v>6</v>
      </c>
      <c r="H97" s="9">
        <v>8.9654000000000007</v>
      </c>
      <c r="I97" s="9">
        <v>-17.1891</v>
      </c>
      <c r="J97" s="10" t="s">
        <v>1</v>
      </c>
      <c r="K97" s="8">
        <v>3.9</v>
      </c>
      <c r="L97" s="11">
        <v>3.1</v>
      </c>
      <c r="M97" s="9">
        <v>147</v>
      </c>
      <c r="N97" s="12" t="s">
        <v>119</v>
      </c>
      <c r="O97" s="13" t="s">
        <v>120</v>
      </c>
    </row>
    <row r="98" spans="1:15" ht="75" x14ac:dyDescent="0.25">
      <c r="A98">
        <v>8443</v>
      </c>
      <c r="B98" s="1">
        <v>8</v>
      </c>
      <c r="C98" s="21" t="s">
        <v>103</v>
      </c>
      <c r="D98">
        <v>2016</v>
      </c>
      <c r="E98" s="1">
        <v>53</v>
      </c>
      <c r="F98" s="3">
        <v>53.65</v>
      </c>
      <c r="G98" s="1">
        <v>23</v>
      </c>
      <c r="H98" s="3">
        <v>33.812800000000003</v>
      </c>
      <c r="I98" s="3">
        <v>1.7435</v>
      </c>
      <c r="J98" s="4" t="s">
        <v>1</v>
      </c>
      <c r="K98" s="1"/>
      <c r="L98" s="5">
        <v>3.3</v>
      </c>
      <c r="M98" s="3">
        <v>57</v>
      </c>
      <c r="N98" s="6" t="s">
        <v>10</v>
      </c>
      <c r="O98" s="7" t="s">
        <v>121</v>
      </c>
    </row>
    <row r="99" spans="1:15" ht="60" x14ac:dyDescent="0.25">
      <c r="A99">
        <v>8444</v>
      </c>
      <c r="B99" s="1">
        <v>9</v>
      </c>
      <c r="C99" s="21" t="s">
        <v>103</v>
      </c>
      <c r="D99">
        <v>2016</v>
      </c>
      <c r="E99" s="1">
        <v>49</v>
      </c>
      <c r="F99" s="3">
        <v>41.03</v>
      </c>
      <c r="G99" s="1">
        <v>12</v>
      </c>
      <c r="H99" s="3">
        <v>-28.170200000000001</v>
      </c>
      <c r="I99" s="3">
        <v>23.752600000000001</v>
      </c>
      <c r="J99" s="4" t="s">
        <v>1</v>
      </c>
      <c r="K99" s="1">
        <v>4.0999999999999996</v>
      </c>
      <c r="L99" s="5"/>
      <c r="M99" s="3">
        <v>9</v>
      </c>
      <c r="N99" s="6" t="s">
        <v>6</v>
      </c>
      <c r="O99" s="7" t="s">
        <v>122</v>
      </c>
    </row>
    <row r="100" spans="1:15" ht="45" x14ac:dyDescent="0.25">
      <c r="A100">
        <v>8445</v>
      </c>
      <c r="B100" s="1">
        <v>9</v>
      </c>
      <c r="C100" s="21" t="s">
        <v>103</v>
      </c>
      <c r="D100">
        <v>2016</v>
      </c>
      <c r="E100" s="1">
        <v>51</v>
      </c>
      <c r="F100" s="3">
        <v>34.369999999999997</v>
      </c>
      <c r="G100" s="1">
        <v>14</v>
      </c>
      <c r="H100" s="3">
        <v>23.5502</v>
      </c>
      <c r="I100" s="3">
        <v>11.148300000000001</v>
      </c>
      <c r="J100" s="4" t="s">
        <v>1</v>
      </c>
      <c r="K100" s="1">
        <v>4</v>
      </c>
      <c r="L100" s="5">
        <v>2.9</v>
      </c>
      <c r="M100" s="3">
        <v>107</v>
      </c>
      <c r="N100" s="6" t="s">
        <v>110</v>
      </c>
      <c r="O100" s="7" t="s">
        <v>123</v>
      </c>
    </row>
    <row r="101" spans="1:15" ht="90" x14ac:dyDescent="0.25">
      <c r="A101">
        <v>8446</v>
      </c>
      <c r="B101" s="1">
        <v>9</v>
      </c>
      <c r="C101" s="21" t="s">
        <v>103</v>
      </c>
      <c r="D101">
        <v>2016</v>
      </c>
      <c r="E101" s="1">
        <v>5</v>
      </c>
      <c r="F101" s="3">
        <v>36.15</v>
      </c>
      <c r="G101" s="1">
        <v>15</v>
      </c>
      <c r="H101" s="3">
        <v>-26.3916</v>
      </c>
      <c r="I101" s="3">
        <v>27.276900000000001</v>
      </c>
      <c r="J101" s="4" t="s">
        <v>1</v>
      </c>
      <c r="K101" s="1">
        <v>3.7</v>
      </c>
      <c r="L101" s="5">
        <v>3.4</v>
      </c>
      <c r="M101" s="3">
        <v>128</v>
      </c>
      <c r="N101" s="6" t="s">
        <v>6</v>
      </c>
      <c r="O101" s="7" t="s">
        <v>124</v>
      </c>
    </row>
    <row r="102" spans="1:15" ht="45" x14ac:dyDescent="0.25">
      <c r="A102">
        <v>8447</v>
      </c>
      <c r="B102" s="1">
        <v>9</v>
      </c>
      <c r="C102" s="21" t="s">
        <v>103</v>
      </c>
      <c r="D102">
        <v>2016</v>
      </c>
      <c r="E102" s="1">
        <v>16</v>
      </c>
      <c r="F102" s="3">
        <v>3.51</v>
      </c>
      <c r="G102" s="1">
        <v>21</v>
      </c>
      <c r="H102" s="3">
        <v>13.0779</v>
      </c>
      <c r="I102" s="3">
        <v>1.8861000000000001</v>
      </c>
      <c r="J102" s="4" t="s">
        <v>1</v>
      </c>
      <c r="K102" s="1">
        <v>3.9</v>
      </c>
      <c r="L102" s="5"/>
      <c r="M102" s="3">
        <v>113</v>
      </c>
      <c r="N102" s="6" t="s">
        <v>15</v>
      </c>
      <c r="O102" s="7" t="s">
        <v>50</v>
      </c>
    </row>
    <row r="103" spans="1:15" ht="30" x14ac:dyDescent="0.25">
      <c r="A103">
        <v>8448</v>
      </c>
      <c r="B103" s="1">
        <v>10</v>
      </c>
      <c r="C103" s="21" t="s">
        <v>103</v>
      </c>
      <c r="D103">
        <v>2016</v>
      </c>
      <c r="E103" s="1">
        <v>42</v>
      </c>
      <c r="F103" s="3">
        <v>51.71</v>
      </c>
      <c r="G103" s="1">
        <v>11</v>
      </c>
      <c r="H103" s="3">
        <v>-6.6679000000000004</v>
      </c>
      <c r="I103" s="3">
        <v>33.0916</v>
      </c>
      <c r="J103" s="4" t="s">
        <v>1</v>
      </c>
      <c r="K103" s="1">
        <v>4.0999999999999996</v>
      </c>
      <c r="L103" s="5">
        <v>3</v>
      </c>
      <c r="M103" s="3">
        <v>143</v>
      </c>
      <c r="N103" s="6" t="s">
        <v>96</v>
      </c>
      <c r="O103" s="7" t="s">
        <v>125</v>
      </c>
    </row>
    <row r="104" spans="1:15" ht="30" x14ac:dyDescent="0.25">
      <c r="A104">
        <v>8449</v>
      </c>
      <c r="B104" s="1">
        <v>10</v>
      </c>
      <c r="C104" s="21" t="s">
        <v>103</v>
      </c>
      <c r="D104">
        <v>2016</v>
      </c>
      <c r="E104" s="1">
        <v>39</v>
      </c>
      <c r="F104" s="3">
        <v>54.46</v>
      </c>
      <c r="G104" s="1">
        <v>19</v>
      </c>
      <c r="H104" s="3">
        <v>-1.2817000000000001</v>
      </c>
      <c r="I104" s="3">
        <v>35.845700000000001</v>
      </c>
      <c r="J104" s="4" t="s">
        <v>1</v>
      </c>
      <c r="K104" s="1">
        <v>4</v>
      </c>
      <c r="L104" s="5"/>
      <c r="M104" s="3">
        <v>8</v>
      </c>
      <c r="N104" s="6" t="s">
        <v>126</v>
      </c>
      <c r="O104" s="7" t="s">
        <v>127</v>
      </c>
    </row>
    <row r="105" spans="1:15" ht="30" x14ac:dyDescent="0.25">
      <c r="A105">
        <v>8450</v>
      </c>
      <c r="B105" s="1">
        <v>11</v>
      </c>
      <c r="C105" s="21" t="s">
        <v>103</v>
      </c>
      <c r="D105">
        <v>2016</v>
      </c>
      <c r="E105" s="1">
        <v>23</v>
      </c>
      <c r="F105" s="3">
        <v>29.92</v>
      </c>
      <c r="G105" s="1">
        <v>2</v>
      </c>
      <c r="H105" s="3">
        <v>10.2187</v>
      </c>
      <c r="I105" s="3">
        <v>39.0002</v>
      </c>
      <c r="J105" s="4" t="s">
        <v>1</v>
      </c>
      <c r="K105" s="1">
        <v>4</v>
      </c>
      <c r="L105" s="5"/>
      <c r="M105" s="3">
        <v>103</v>
      </c>
      <c r="N105" s="6" t="s">
        <v>57</v>
      </c>
      <c r="O105" s="7" t="s">
        <v>128</v>
      </c>
    </row>
    <row r="106" spans="1:15" ht="75" x14ac:dyDescent="0.25">
      <c r="A106">
        <v>8451</v>
      </c>
      <c r="B106" s="1">
        <v>12</v>
      </c>
      <c r="C106" s="21" t="s">
        <v>103</v>
      </c>
      <c r="D106">
        <v>2016</v>
      </c>
      <c r="E106" s="1">
        <v>39</v>
      </c>
      <c r="F106" s="3">
        <v>57.01</v>
      </c>
      <c r="G106" s="1">
        <v>0</v>
      </c>
      <c r="H106" s="3">
        <v>-35.081800000000001</v>
      </c>
      <c r="I106" s="3">
        <v>21.6433</v>
      </c>
      <c r="J106" s="4" t="s">
        <v>1</v>
      </c>
      <c r="K106" s="1">
        <v>4.0999999999999996</v>
      </c>
      <c r="L106" s="5">
        <v>2.2999999999999998</v>
      </c>
      <c r="M106" s="3">
        <v>90</v>
      </c>
      <c r="N106" s="6" t="s">
        <v>24</v>
      </c>
      <c r="O106" s="7" t="s">
        <v>24</v>
      </c>
    </row>
    <row r="107" spans="1:15" ht="60" x14ac:dyDescent="0.25">
      <c r="A107">
        <v>8452</v>
      </c>
      <c r="B107" s="8">
        <v>12</v>
      </c>
      <c r="C107" s="21" t="s">
        <v>103</v>
      </c>
      <c r="D107">
        <v>2016</v>
      </c>
      <c r="E107" s="8">
        <v>50</v>
      </c>
      <c r="F107" s="9">
        <v>46.46</v>
      </c>
      <c r="G107" s="8">
        <v>0</v>
      </c>
      <c r="H107" s="9">
        <v>6.6646999999999998</v>
      </c>
      <c r="I107" s="9">
        <v>-3.8582999999999998</v>
      </c>
      <c r="J107" s="10" t="s">
        <v>1</v>
      </c>
      <c r="K107" s="8">
        <v>4.2</v>
      </c>
      <c r="L107" s="11"/>
      <c r="M107" s="9">
        <v>150</v>
      </c>
      <c r="N107" s="12" t="s">
        <v>15</v>
      </c>
      <c r="O107" s="13" t="s">
        <v>129</v>
      </c>
    </row>
    <row r="108" spans="1:15" ht="60" x14ac:dyDescent="0.25">
      <c r="A108">
        <v>8453</v>
      </c>
      <c r="B108" s="1">
        <v>12</v>
      </c>
      <c r="C108" s="21" t="s">
        <v>103</v>
      </c>
      <c r="D108">
        <v>2016</v>
      </c>
      <c r="E108" s="1">
        <v>38</v>
      </c>
      <c r="F108" s="3">
        <v>13.12</v>
      </c>
      <c r="G108" s="1">
        <v>1</v>
      </c>
      <c r="H108" s="3">
        <v>-30.2498</v>
      </c>
      <c r="I108" s="3">
        <v>24.151599999999998</v>
      </c>
      <c r="J108" s="4" t="s">
        <v>1</v>
      </c>
      <c r="K108" s="1">
        <v>4.2</v>
      </c>
      <c r="L108" s="5"/>
      <c r="M108" s="3">
        <v>134</v>
      </c>
      <c r="N108" s="6" t="s">
        <v>6</v>
      </c>
      <c r="O108" s="7" t="s">
        <v>130</v>
      </c>
    </row>
    <row r="109" spans="1:15" ht="60" x14ac:dyDescent="0.25">
      <c r="A109">
        <v>8454</v>
      </c>
      <c r="B109" s="1">
        <v>12</v>
      </c>
      <c r="C109" s="21" t="s">
        <v>103</v>
      </c>
      <c r="D109">
        <v>2016</v>
      </c>
      <c r="E109" s="1">
        <v>47</v>
      </c>
      <c r="F109" s="3">
        <v>30.64</v>
      </c>
      <c r="G109" s="1">
        <v>6</v>
      </c>
      <c r="H109" s="3">
        <v>-15.927199999999999</v>
      </c>
      <c r="I109" s="3">
        <v>44.439799999999998</v>
      </c>
      <c r="J109" s="4" t="s">
        <v>1</v>
      </c>
      <c r="K109" s="1">
        <v>4.0999999999999996</v>
      </c>
      <c r="L109" s="5"/>
      <c r="M109" s="3">
        <v>120</v>
      </c>
      <c r="N109" s="6" t="s">
        <v>75</v>
      </c>
      <c r="O109" s="7" t="s">
        <v>75</v>
      </c>
    </row>
    <row r="110" spans="1:15" ht="75" x14ac:dyDescent="0.25">
      <c r="A110">
        <v>8455</v>
      </c>
      <c r="B110" s="1">
        <v>12</v>
      </c>
      <c r="C110" s="21" t="s">
        <v>103</v>
      </c>
      <c r="D110">
        <v>2016</v>
      </c>
      <c r="E110" s="1">
        <v>29</v>
      </c>
      <c r="F110" s="3">
        <v>39.450000000000003</v>
      </c>
      <c r="G110" s="1">
        <v>17</v>
      </c>
      <c r="H110" s="3">
        <v>-30.200900000000001</v>
      </c>
      <c r="I110" s="3">
        <v>57.264499999999998</v>
      </c>
      <c r="J110" s="4" t="s">
        <v>1</v>
      </c>
      <c r="K110" s="1">
        <v>3.8</v>
      </c>
      <c r="L110" s="5"/>
      <c r="M110" s="3">
        <v>170</v>
      </c>
      <c r="N110" s="6" t="s">
        <v>24</v>
      </c>
      <c r="O110" s="7" t="s">
        <v>24</v>
      </c>
    </row>
    <row r="111" spans="1:15" ht="30" x14ac:dyDescent="0.25">
      <c r="A111">
        <v>8456</v>
      </c>
      <c r="B111" s="1">
        <v>13</v>
      </c>
      <c r="C111" s="21" t="s">
        <v>103</v>
      </c>
      <c r="D111">
        <v>2016</v>
      </c>
      <c r="E111" s="1">
        <v>1</v>
      </c>
      <c r="F111" s="3">
        <v>17.010000000000002</v>
      </c>
      <c r="G111" s="1">
        <v>3</v>
      </c>
      <c r="H111" s="3">
        <v>-5.5206</v>
      </c>
      <c r="I111" s="3">
        <v>35.994100000000003</v>
      </c>
      <c r="J111" s="4" t="s">
        <v>1</v>
      </c>
      <c r="K111" s="1">
        <v>4.4000000000000004</v>
      </c>
      <c r="L111" s="5">
        <v>4.8</v>
      </c>
      <c r="M111" s="3">
        <v>116</v>
      </c>
      <c r="N111" s="6" t="s">
        <v>96</v>
      </c>
      <c r="O111" s="7" t="s">
        <v>131</v>
      </c>
    </row>
    <row r="112" spans="1:15" ht="30" x14ac:dyDescent="0.25">
      <c r="A112">
        <v>8457</v>
      </c>
      <c r="B112" s="1">
        <v>13</v>
      </c>
      <c r="C112" s="21" t="s">
        <v>103</v>
      </c>
      <c r="D112">
        <v>2016</v>
      </c>
      <c r="E112" s="1">
        <v>33</v>
      </c>
      <c r="F112" s="3">
        <v>59.24</v>
      </c>
      <c r="G112" s="1">
        <v>7</v>
      </c>
      <c r="H112" s="3">
        <v>-5.524</v>
      </c>
      <c r="I112" s="3">
        <v>35.690300000000001</v>
      </c>
      <c r="J112" s="4" t="s">
        <v>1</v>
      </c>
      <c r="K112" s="1">
        <v>4.2</v>
      </c>
      <c r="L112" s="5">
        <v>4</v>
      </c>
      <c r="M112" s="3">
        <v>116</v>
      </c>
      <c r="N112" s="6" t="s">
        <v>96</v>
      </c>
      <c r="O112" s="7" t="s">
        <v>132</v>
      </c>
    </row>
    <row r="113" spans="1:15" ht="30" x14ac:dyDescent="0.25">
      <c r="A113">
        <v>8458</v>
      </c>
      <c r="B113" s="1">
        <v>13</v>
      </c>
      <c r="C113" s="21" t="s">
        <v>103</v>
      </c>
      <c r="D113">
        <v>2016</v>
      </c>
      <c r="E113" s="1">
        <v>58</v>
      </c>
      <c r="F113" s="3">
        <v>29.23</v>
      </c>
      <c r="G113" s="1">
        <v>8</v>
      </c>
      <c r="H113" s="3">
        <v>-5.1710000000000003</v>
      </c>
      <c r="I113" s="3">
        <v>35.595300000000002</v>
      </c>
      <c r="J113" s="4" t="s">
        <v>1</v>
      </c>
      <c r="K113" s="1">
        <v>3.8</v>
      </c>
      <c r="L113" s="5">
        <v>3.6</v>
      </c>
      <c r="M113" s="3">
        <v>112</v>
      </c>
      <c r="N113" s="6" t="s">
        <v>96</v>
      </c>
      <c r="O113" s="7" t="s">
        <v>132</v>
      </c>
    </row>
    <row r="114" spans="1:15" ht="30" x14ac:dyDescent="0.25">
      <c r="A114">
        <v>8459</v>
      </c>
      <c r="B114" s="1">
        <v>13</v>
      </c>
      <c r="C114" s="21" t="s">
        <v>103</v>
      </c>
      <c r="D114">
        <v>2016</v>
      </c>
      <c r="E114" s="1">
        <v>29</v>
      </c>
      <c r="F114" s="3">
        <v>26.26</v>
      </c>
      <c r="G114" s="1">
        <v>12</v>
      </c>
      <c r="H114" s="3">
        <v>-13.3825</v>
      </c>
      <c r="I114" s="3">
        <v>23.493099999999998</v>
      </c>
      <c r="J114" s="4" t="s">
        <v>1</v>
      </c>
      <c r="K114" s="1">
        <v>4.4000000000000004</v>
      </c>
      <c r="L114" s="5"/>
      <c r="M114" s="3">
        <v>158</v>
      </c>
      <c r="N114" s="6" t="s">
        <v>82</v>
      </c>
      <c r="O114" s="7" t="s">
        <v>133</v>
      </c>
    </row>
    <row r="115" spans="1:15" ht="30" x14ac:dyDescent="0.25">
      <c r="A115">
        <v>8460</v>
      </c>
      <c r="B115" s="1">
        <v>13</v>
      </c>
      <c r="C115" s="21" t="s">
        <v>103</v>
      </c>
      <c r="D115">
        <v>2016</v>
      </c>
      <c r="E115" s="1">
        <v>30</v>
      </c>
      <c r="F115" s="3">
        <v>16.11</v>
      </c>
      <c r="G115" s="1">
        <v>12</v>
      </c>
      <c r="H115" s="3">
        <v>-0.54749999999999999</v>
      </c>
      <c r="I115" s="3">
        <v>37.7622</v>
      </c>
      <c r="J115" s="4" t="s">
        <v>1</v>
      </c>
      <c r="K115" s="1">
        <v>4.3</v>
      </c>
      <c r="L115" s="5"/>
      <c r="M115" s="3">
        <v>126</v>
      </c>
      <c r="N115" s="6" t="s">
        <v>126</v>
      </c>
      <c r="O115" s="7" t="s">
        <v>134</v>
      </c>
    </row>
    <row r="116" spans="1:15" ht="60" x14ac:dyDescent="0.25">
      <c r="A116">
        <v>8461</v>
      </c>
      <c r="B116" s="1">
        <v>13</v>
      </c>
      <c r="C116" s="21" t="s">
        <v>103</v>
      </c>
      <c r="D116">
        <v>2016</v>
      </c>
      <c r="E116" s="1">
        <v>43</v>
      </c>
      <c r="F116" s="3">
        <v>42.61</v>
      </c>
      <c r="G116" s="1">
        <v>14</v>
      </c>
      <c r="H116" s="3">
        <v>30.914200000000001</v>
      </c>
      <c r="I116" s="3">
        <v>12.141400000000001</v>
      </c>
      <c r="J116" s="4" t="s">
        <v>1</v>
      </c>
      <c r="K116" s="1">
        <v>3.6</v>
      </c>
      <c r="L116" s="5">
        <v>4.3</v>
      </c>
      <c r="M116" s="3">
        <v>83</v>
      </c>
      <c r="N116" s="6" t="s">
        <v>135</v>
      </c>
      <c r="O116" s="7" t="s">
        <v>136</v>
      </c>
    </row>
    <row r="117" spans="1:15" ht="45" x14ac:dyDescent="0.25">
      <c r="A117">
        <v>8462</v>
      </c>
      <c r="B117" s="8">
        <v>13</v>
      </c>
      <c r="C117" s="21" t="s">
        <v>103</v>
      </c>
      <c r="D117">
        <v>2016</v>
      </c>
      <c r="E117" s="8">
        <v>38</v>
      </c>
      <c r="F117" s="9">
        <v>26.29</v>
      </c>
      <c r="G117" s="8">
        <v>17</v>
      </c>
      <c r="H117" s="9">
        <v>7.5579999999999998</v>
      </c>
      <c r="I117" s="9">
        <v>-8.2210000000000001</v>
      </c>
      <c r="J117" s="10" t="s">
        <v>1</v>
      </c>
      <c r="K117" s="8"/>
      <c r="L117" s="11">
        <v>2.8</v>
      </c>
      <c r="M117" s="9">
        <v>9</v>
      </c>
      <c r="N117" s="12" t="s">
        <v>15</v>
      </c>
      <c r="O117" s="13" t="s">
        <v>137</v>
      </c>
    </row>
    <row r="118" spans="1:15" ht="30" x14ac:dyDescent="0.25">
      <c r="A118">
        <v>8463</v>
      </c>
      <c r="B118" s="1">
        <v>14</v>
      </c>
      <c r="C118" s="21" t="s">
        <v>103</v>
      </c>
      <c r="D118">
        <v>2016</v>
      </c>
      <c r="E118" s="1">
        <v>40</v>
      </c>
      <c r="F118" s="3">
        <v>34.380000000000003</v>
      </c>
      <c r="G118" s="1">
        <v>0</v>
      </c>
      <c r="H118" s="3">
        <v>-6.0091999999999999</v>
      </c>
      <c r="I118" s="3">
        <v>36.220700000000001</v>
      </c>
      <c r="J118" s="4" t="s">
        <v>1</v>
      </c>
      <c r="K118" s="1">
        <v>3.7</v>
      </c>
      <c r="L118" s="5">
        <v>2.9</v>
      </c>
      <c r="M118" s="3">
        <v>98</v>
      </c>
      <c r="N118" s="6" t="s">
        <v>96</v>
      </c>
      <c r="O118" s="7" t="s">
        <v>131</v>
      </c>
    </row>
    <row r="119" spans="1:15" ht="60" x14ac:dyDescent="0.25">
      <c r="A119">
        <v>8464</v>
      </c>
      <c r="B119" s="8">
        <v>14</v>
      </c>
      <c r="C119" s="21" t="s">
        <v>103</v>
      </c>
      <c r="D119">
        <v>2016</v>
      </c>
      <c r="E119" s="8">
        <v>47</v>
      </c>
      <c r="F119" s="9">
        <v>31.95</v>
      </c>
      <c r="G119" s="8">
        <v>10</v>
      </c>
      <c r="H119" s="9">
        <v>7.2084000000000001</v>
      </c>
      <c r="I119" s="9">
        <v>-3.6000999999999999</v>
      </c>
      <c r="J119" s="10" t="s">
        <v>1</v>
      </c>
      <c r="K119" s="8">
        <v>4.4000000000000004</v>
      </c>
      <c r="L119" s="11"/>
      <c r="M119" s="9">
        <v>131</v>
      </c>
      <c r="N119" s="12" t="s">
        <v>15</v>
      </c>
      <c r="O119" s="13" t="s">
        <v>138</v>
      </c>
    </row>
    <row r="120" spans="1:15" ht="30" x14ac:dyDescent="0.25">
      <c r="A120">
        <v>8465</v>
      </c>
      <c r="B120" s="1">
        <v>14</v>
      </c>
      <c r="C120" s="21" t="s">
        <v>103</v>
      </c>
      <c r="D120">
        <v>2016</v>
      </c>
      <c r="E120" s="1">
        <v>21</v>
      </c>
      <c r="F120" s="3">
        <v>22.28</v>
      </c>
      <c r="G120" s="1">
        <v>23</v>
      </c>
      <c r="H120" s="3">
        <v>20.381699999999999</v>
      </c>
      <c r="I120" s="3">
        <v>21.589600000000001</v>
      </c>
      <c r="J120" s="4" t="s">
        <v>1</v>
      </c>
      <c r="K120" s="1">
        <v>3.8</v>
      </c>
      <c r="L120" s="5"/>
      <c r="M120" s="3">
        <v>78</v>
      </c>
      <c r="N120" s="6" t="s">
        <v>139</v>
      </c>
      <c r="O120" s="7" t="s">
        <v>140</v>
      </c>
    </row>
    <row r="121" spans="1:15" ht="45" x14ac:dyDescent="0.25">
      <c r="A121">
        <v>8466</v>
      </c>
      <c r="B121" s="8">
        <v>15</v>
      </c>
      <c r="C121" s="21" t="s">
        <v>103</v>
      </c>
      <c r="D121">
        <v>2016</v>
      </c>
      <c r="E121" s="8">
        <v>1</v>
      </c>
      <c r="F121" s="9">
        <v>40.81</v>
      </c>
      <c r="G121" s="8">
        <v>0</v>
      </c>
      <c r="H121" s="9">
        <v>6.3891</v>
      </c>
      <c r="I121" s="9">
        <v>-6.0576999999999996</v>
      </c>
      <c r="J121" s="10" t="s">
        <v>1</v>
      </c>
      <c r="K121" s="8">
        <v>4</v>
      </c>
      <c r="L121" s="11"/>
      <c r="M121" s="9">
        <v>170</v>
      </c>
      <c r="N121" s="12" t="s">
        <v>15</v>
      </c>
      <c r="O121" s="13" t="s">
        <v>141</v>
      </c>
    </row>
    <row r="122" spans="1:15" ht="60" x14ac:dyDescent="0.25">
      <c r="A122">
        <v>8467</v>
      </c>
      <c r="B122" s="1">
        <v>15</v>
      </c>
      <c r="C122" s="21" t="s">
        <v>103</v>
      </c>
      <c r="D122">
        <v>2016</v>
      </c>
      <c r="E122" s="1">
        <v>36</v>
      </c>
      <c r="F122" s="3">
        <v>7.71</v>
      </c>
      <c r="G122" s="1">
        <v>1</v>
      </c>
      <c r="H122" s="3">
        <v>-28.108699999999999</v>
      </c>
      <c r="I122" s="3">
        <v>24.577200000000001</v>
      </c>
      <c r="J122" s="4" t="s">
        <v>1</v>
      </c>
      <c r="K122" s="1">
        <v>4.5</v>
      </c>
      <c r="L122" s="5"/>
      <c r="M122" s="3">
        <v>45</v>
      </c>
      <c r="N122" s="6" t="s">
        <v>6</v>
      </c>
      <c r="O122" s="7" t="s">
        <v>142</v>
      </c>
    </row>
    <row r="123" spans="1:15" ht="75" x14ac:dyDescent="0.25">
      <c r="A123">
        <v>8468</v>
      </c>
      <c r="B123" s="8">
        <v>16</v>
      </c>
      <c r="C123" s="21" t="s">
        <v>103</v>
      </c>
      <c r="D123">
        <v>2016</v>
      </c>
      <c r="E123" s="8">
        <v>12</v>
      </c>
      <c r="F123" s="9">
        <v>44.28</v>
      </c>
      <c r="G123" s="8">
        <v>11</v>
      </c>
      <c r="H123" s="9">
        <v>7.9821999999999997</v>
      </c>
      <c r="I123" s="11">
        <v>-4.6817000000000002</v>
      </c>
      <c r="J123" s="10" t="s">
        <v>1</v>
      </c>
      <c r="K123" s="8">
        <v>4</v>
      </c>
      <c r="L123" s="11"/>
      <c r="M123" s="9">
        <v>90</v>
      </c>
      <c r="N123" s="12" t="s">
        <v>15</v>
      </c>
      <c r="O123" s="13" t="s">
        <v>143</v>
      </c>
    </row>
    <row r="124" spans="1:15" ht="45" x14ac:dyDescent="0.25">
      <c r="A124">
        <v>8469</v>
      </c>
      <c r="B124" s="8">
        <v>16</v>
      </c>
      <c r="C124" s="21" t="s">
        <v>103</v>
      </c>
      <c r="D124">
        <v>2016</v>
      </c>
      <c r="E124" s="8">
        <v>19</v>
      </c>
      <c r="F124" s="9">
        <v>51.03</v>
      </c>
      <c r="G124" s="8">
        <v>17</v>
      </c>
      <c r="H124" s="9">
        <v>13.995699999999999</v>
      </c>
      <c r="I124" s="11">
        <v>1.1792</v>
      </c>
      <c r="J124" s="10" t="s">
        <v>1</v>
      </c>
      <c r="K124" s="8"/>
      <c r="L124" s="11"/>
      <c r="M124" s="9">
        <v>59</v>
      </c>
      <c r="N124" s="12" t="s">
        <v>15</v>
      </c>
      <c r="O124" s="22" t="s">
        <v>144</v>
      </c>
    </row>
    <row r="125" spans="1:15" ht="45" x14ac:dyDescent="0.25">
      <c r="A125">
        <v>8470</v>
      </c>
      <c r="B125" s="8">
        <v>16</v>
      </c>
      <c r="C125" s="21" t="s">
        <v>103</v>
      </c>
      <c r="D125">
        <v>2016</v>
      </c>
      <c r="E125" s="8">
        <v>38</v>
      </c>
      <c r="F125" s="9">
        <v>7.37</v>
      </c>
      <c r="G125" s="8">
        <v>18</v>
      </c>
      <c r="H125" s="9">
        <v>7.1909000000000001</v>
      </c>
      <c r="I125" s="11">
        <v>-6.3360000000000003</v>
      </c>
      <c r="J125" s="10" t="s">
        <v>1</v>
      </c>
      <c r="K125" s="8">
        <v>4.0999999999999996</v>
      </c>
      <c r="L125" s="11"/>
      <c r="M125" s="9">
        <v>17</v>
      </c>
      <c r="N125" s="12" t="s">
        <v>15</v>
      </c>
      <c r="O125" s="13" t="s">
        <v>145</v>
      </c>
    </row>
    <row r="126" spans="1:15" ht="45" x14ac:dyDescent="0.25">
      <c r="A126">
        <v>8471</v>
      </c>
      <c r="B126" s="1">
        <v>17</v>
      </c>
      <c r="C126" s="21" t="s">
        <v>103</v>
      </c>
      <c r="D126">
        <v>2016</v>
      </c>
      <c r="E126" s="1">
        <v>12</v>
      </c>
      <c r="F126" s="3">
        <v>6.58</v>
      </c>
      <c r="G126" s="1">
        <v>4</v>
      </c>
      <c r="H126" s="3">
        <v>32.273600000000002</v>
      </c>
      <c r="I126" s="3">
        <v>12.658799999999999</v>
      </c>
      <c r="J126" s="4" t="s">
        <v>1</v>
      </c>
      <c r="K126" s="1">
        <v>3.8</v>
      </c>
      <c r="L126" s="5"/>
      <c r="M126" s="3">
        <v>108</v>
      </c>
      <c r="N126" s="6" t="s">
        <v>146</v>
      </c>
      <c r="O126" s="7" t="s">
        <v>147</v>
      </c>
    </row>
    <row r="127" spans="1:15" ht="60" x14ac:dyDescent="0.25">
      <c r="A127">
        <v>8472</v>
      </c>
      <c r="B127" s="1">
        <v>18</v>
      </c>
      <c r="C127" s="21" t="s">
        <v>103</v>
      </c>
      <c r="D127">
        <v>2016</v>
      </c>
      <c r="E127" s="1">
        <v>25</v>
      </c>
      <c r="F127" s="3">
        <v>24.48</v>
      </c>
      <c r="G127" s="1">
        <v>21</v>
      </c>
      <c r="H127" s="3">
        <v>-28.959499999999998</v>
      </c>
      <c r="I127" s="3">
        <v>23.7789</v>
      </c>
      <c r="J127" s="4" t="s">
        <v>1</v>
      </c>
      <c r="K127" s="1">
        <v>3.7</v>
      </c>
      <c r="L127" s="5"/>
      <c r="M127" s="3">
        <v>174</v>
      </c>
      <c r="N127" s="6" t="s">
        <v>6</v>
      </c>
      <c r="O127" s="7" t="s">
        <v>130</v>
      </c>
    </row>
    <row r="128" spans="1:15" ht="30" x14ac:dyDescent="0.25">
      <c r="A128">
        <v>8473</v>
      </c>
      <c r="B128" s="1">
        <v>18</v>
      </c>
      <c r="C128" s="21" t="s">
        <v>103</v>
      </c>
      <c r="D128">
        <v>2016</v>
      </c>
      <c r="E128" s="1">
        <v>43</v>
      </c>
      <c r="F128" s="3">
        <v>13.48</v>
      </c>
      <c r="G128" s="1">
        <v>23</v>
      </c>
      <c r="H128" s="3">
        <v>19.5015</v>
      </c>
      <c r="I128" s="3">
        <v>30.931999999999999</v>
      </c>
      <c r="J128" s="4" t="s">
        <v>1</v>
      </c>
      <c r="K128" s="1">
        <v>3.7</v>
      </c>
      <c r="L128" s="5"/>
      <c r="M128" s="3">
        <v>179</v>
      </c>
      <c r="N128" s="6" t="s">
        <v>117</v>
      </c>
      <c r="O128" s="7" t="s">
        <v>148</v>
      </c>
    </row>
    <row r="129" spans="1:15" ht="75" x14ac:dyDescent="0.25">
      <c r="A129">
        <v>8474</v>
      </c>
      <c r="B129" s="1">
        <v>19</v>
      </c>
      <c r="C129" s="21" t="s">
        <v>103</v>
      </c>
      <c r="D129">
        <v>2016</v>
      </c>
      <c r="E129" s="1">
        <v>20</v>
      </c>
      <c r="F129" s="3">
        <v>43.69</v>
      </c>
      <c r="G129" s="1">
        <v>9</v>
      </c>
      <c r="H129" s="3">
        <v>-26.5258</v>
      </c>
      <c r="I129" s="3">
        <v>28.9253</v>
      </c>
      <c r="J129" s="4" t="s">
        <v>1</v>
      </c>
      <c r="K129" s="1">
        <v>4</v>
      </c>
      <c r="L129" s="5">
        <v>4.4000000000000004</v>
      </c>
      <c r="M129" s="3">
        <v>113</v>
      </c>
      <c r="N129" s="6" t="s">
        <v>6</v>
      </c>
      <c r="O129" s="7" t="s">
        <v>149</v>
      </c>
    </row>
    <row r="130" spans="1:15" ht="30" x14ac:dyDescent="0.25">
      <c r="A130">
        <v>8475</v>
      </c>
      <c r="B130" s="1">
        <v>19</v>
      </c>
      <c r="C130" s="21" t="s">
        <v>103</v>
      </c>
      <c r="D130">
        <v>2016</v>
      </c>
      <c r="E130" s="1">
        <v>50</v>
      </c>
      <c r="F130" s="3">
        <v>35.880000000000003</v>
      </c>
      <c r="G130" s="1">
        <v>9</v>
      </c>
      <c r="H130" s="3">
        <v>34.901400000000002</v>
      </c>
      <c r="I130" s="3">
        <v>10.680199999999999</v>
      </c>
      <c r="J130" s="4" t="s">
        <v>1</v>
      </c>
      <c r="K130" s="1">
        <v>3.8</v>
      </c>
      <c r="L130" s="5"/>
      <c r="M130" s="3">
        <v>11</v>
      </c>
      <c r="N130" s="6" t="s">
        <v>2</v>
      </c>
      <c r="O130" s="7" t="s">
        <v>150</v>
      </c>
    </row>
    <row r="131" spans="1:15" ht="60" x14ac:dyDescent="0.25">
      <c r="A131">
        <v>8476</v>
      </c>
      <c r="B131" s="1">
        <v>19</v>
      </c>
      <c r="C131" s="21" t="s">
        <v>103</v>
      </c>
      <c r="D131">
        <v>2016</v>
      </c>
      <c r="E131" s="1">
        <v>51</v>
      </c>
      <c r="F131" s="3">
        <v>31.53</v>
      </c>
      <c r="G131" s="1">
        <v>9</v>
      </c>
      <c r="H131" s="3">
        <v>-25.236999999999998</v>
      </c>
      <c r="I131" s="3">
        <v>32.940600000000003</v>
      </c>
      <c r="J131" s="4" t="s">
        <v>1</v>
      </c>
      <c r="K131" s="1">
        <v>4.5</v>
      </c>
      <c r="L131" s="5">
        <v>3.5</v>
      </c>
      <c r="M131" s="3">
        <v>122</v>
      </c>
      <c r="N131" s="6" t="s">
        <v>26</v>
      </c>
      <c r="O131" s="7" t="s">
        <v>151</v>
      </c>
    </row>
    <row r="132" spans="1:15" ht="60" x14ac:dyDescent="0.25">
      <c r="A132">
        <v>8477</v>
      </c>
      <c r="B132" s="1">
        <v>19</v>
      </c>
      <c r="C132" s="21" t="s">
        <v>103</v>
      </c>
      <c r="D132">
        <v>2016</v>
      </c>
      <c r="E132" s="1">
        <v>18</v>
      </c>
      <c r="F132" s="3">
        <v>31</v>
      </c>
      <c r="G132" s="1">
        <v>11</v>
      </c>
      <c r="H132" s="3">
        <v>-28.506900000000002</v>
      </c>
      <c r="I132" s="3">
        <v>25.3535</v>
      </c>
      <c r="J132" s="4" t="s">
        <v>1</v>
      </c>
      <c r="K132" s="1">
        <v>4.3</v>
      </c>
      <c r="L132" s="5"/>
      <c r="M132" s="3">
        <v>39</v>
      </c>
      <c r="N132" s="6" t="s">
        <v>6</v>
      </c>
      <c r="O132" s="7" t="s">
        <v>152</v>
      </c>
    </row>
    <row r="133" spans="1:15" ht="60" x14ac:dyDescent="0.25">
      <c r="A133">
        <v>8478</v>
      </c>
      <c r="B133" s="1">
        <v>19</v>
      </c>
      <c r="C133" s="21" t="s">
        <v>103</v>
      </c>
      <c r="D133">
        <v>2016</v>
      </c>
      <c r="E133" s="1">
        <v>2</v>
      </c>
      <c r="F133" s="3">
        <v>10.52</v>
      </c>
      <c r="G133" s="1">
        <v>14</v>
      </c>
      <c r="H133" s="3">
        <v>-29.978999999999999</v>
      </c>
      <c r="I133" s="3">
        <v>25.505600000000001</v>
      </c>
      <c r="J133" s="4" t="s">
        <v>1</v>
      </c>
      <c r="K133" s="1">
        <v>4.3</v>
      </c>
      <c r="L133" s="5"/>
      <c r="M133" s="3">
        <v>66</v>
      </c>
      <c r="N133" s="6" t="s">
        <v>6</v>
      </c>
      <c r="O133" s="7" t="s">
        <v>113</v>
      </c>
    </row>
    <row r="134" spans="1:15" ht="60" x14ac:dyDescent="0.25">
      <c r="A134">
        <v>8479</v>
      </c>
      <c r="B134" s="1">
        <v>19</v>
      </c>
      <c r="C134" s="21" t="s">
        <v>103</v>
      </c>
      <c r="D134">
        <v>2016</v>
      </c>
      <c r="E134" s="1">
        <v>26</v>
      </c>
      <c r="F134" s="3">
        <v>47.41</v>
      </c>
      <c r="G134" s="1">
        <v>16</v>
      </c>
      <c r="H134" s="3">
        <v>-23.386199999999999</v>
      </c>
      <c r="I134" s="3">
        <v>29.154699999999998</v>
      </c>
      <c r="J134" s="4" t="s">
        <v>1</v>
      </c>
      <c r="K134" s="1">
        <v>4.3</v>
      </c>
      <c r="L134" s="5">
        <v>3.6</v>
      </c>
      <c r="M134" s="3">
        <v>96</v>
      </c>
      <c r="N134" s="6" t="s">
        <v>6</v>
      </c>
      <c r="O134" s="7" t="s">
        <v>153</v>
      </c>
    </row>
    <row r="135" spans="1:15" ht="90" x14ac:dyDescent="0.25">
      <c r="A135">
        <v>8480</v>
      </c>
      <c r="B135" s="1">
        <v>20</v>
      </c>
      <c r="C135" s="21" t="s">
        <v>103</v>
      </c>
      <c r="D135">
        <v>2016</v>
      </c>
      <c r="E135" s="1">
        <v>31</v>
      </c>
      <c r="F135" s="3">
        <v>48.55</v>
      </c>
      <c r="G135" s="1">
        <v>15</v>
      </c>
      <c r="H135" s="3">
        <v>1.6334</v>
      </c>
      <c r="I135" s="3">
        <v>6.6962000000000002</v>
      </c>
      <c r="J135" s="4" t="s">
        <v>1</v>
      </c>
      <c r="K135" s="1"/>
      <c r="L135" s="5">
        <v>3.6</v>
      </c>
      <c r="M135" s="3">
        <v>43</v>
      </c>
      <c r="N135" s="6" t="s">
        <v>154</v>
      </c>
      <c r="O135" s="23" t="s">
        <v>155</v>
      </c>
    </row>
    <row r="136" spans="1:15" ht="30" x14ac:dyDescent="0.25">
      <c r="A136">
        <v>8481</v>
      </c>
      <c r="B136" s="1">
        <v>21</v>
      </c>
      <c r="C136" s="21" t="s">
        <v>103</v>
      </c>
      <c r="D136">
        <v>2016</v>
      </c>
      <c r="E136" s="1">
        <v>44</v>
      </c>
      <c r="F136" s="3">
        <v>41.71</v>
      </c>
      <c r="G136" s="1">
        <v>4</v>
      </c>
      <c r="H136" s="3">
        <v>32.902999999999999</v>
      </c>
      <c r="I136" s="3">
        <v>8.5678000000000001</v>
      </c>
      <c r="J136" s="4" t="s">
        <v>1</v>
      </c>
      <c r="K136" s="1">
        <v>4</v>
      </c>
      <c r="L136" s="5"/>
      <c r="M136" s="3">
        <v>180</v>
      </c>
      <c r="N136" s="6" t="s">
        <v>2</v>
      </c>
      <c r="O136" s="7" t="s">
        <v>156</v>
      </c>
    </row>
    <row r="137" spans="1:15" ht="60" x14ac:dyDescent="0.25">
      <c r="A137">
        <v>8482</v>
      </c>
      <c r="B137" s="1">
        <v>21</v>
      </c>
      <c r="C137" s="21" t="s">
        <v>103</v>
      </c>
      <c r="D137">
        <v>2016</v>
      </c>
      <c r="E137" s="1">
        <v>15</v>
      </c>
      <c r="F137" s="3">
        <v>48.38</v>
      </c>
      <c r="G137" s="1">
        <v>11</v>
      </c>
      <c r="H137" s="3">
        <v>-24.3888</v>
      </c>
      <c r="I137" s="3">
        <v>25.810300000000002</v>
      </c>
      <c r="J137" s="4" t="s">
        <v>1</v>
      </c>
      <c r="K137" s="1">
        <v>4.0999999999999996</v>
      </c>
      <c r="L137" s="5">
        <v>3</v>
      </c>
      <c r="M137" s="3">
        <v>95</v>
      </c>
      <c r="N137" s="6" t="s">
        <v>66</v>
      </c>
      <c r="O137" s="7" t="s">
        <v>157</v>
      </c>
    </row>
    <row r="138" spans="1:15" ht="30" x14ac:dyDescent="0.25">
      <c r="A138">
        <v>8483</v>
      </c>
      <c r="B138" s="1">
        <v>21</v>
      </c>
      <c r="C138" s="21" t="s">
        <v>103</v>
      </c>
      <c r="D138">
        <v>2016</v>
      </c>
      <c r="E138" s="1">
        <v>15</v>
      </c>
      <c r="F138" s="3">
        <v>13.21</v>
      </c>
      <c r="G138" s="1">
        <v>17</v>
      </c>
      <c r="H138" s="3">
        <v>-5.4752999999999998</v>
      </c>
      <c r="I138" s="3">
        <v>35.927900000000001</v>
      </c>
      <c r="J138" s="4" t="s">
        <v>1</v>
      </c>
      <c r="K138" s="1">
        <v>3.8</v>
      </c>
      <c r="L138" s="5">
        <v>4.0999999999999996</v>
      </c>
      <c r="M138" s="3">
        <v>121</v>
      </c>
      <c r="N138" s="6" t="s">
        <v>96</v>
      </c>
      <c r="O138" s="7" t="s">
        <v>131</v>
      </c>
    </row>
    <row r="139" spans="1:15" ht="30" x14ac:dyDescent="0.25">
      <c r="A139">
        <v>8484</v>
      </c>
      <c r="B139" s="1">
        <v>21</v>
      </c>
      <c r="C139" s="21" t="s">
        <v>103</v>
      </c>
      <c r="D139">
        <v>2016</v>
      </c>
      <c r="E139" s="1">
        <v>16</v>
      </c>
      <c r="F139" s="3">
        <v>53.74</v>
      </c>
      <c r="G139" s="1">
        <v>17</v>
      </c>
      <c r="H139" s="3">
        <v>-4.3164999999999996</v>
      </c>
      <c r="I139" s="3">
        <v>35.997999999999998</v>
      </c>
      <c r="J139" s="4" t="s">
        <v>1</v>
      </c>
      <c r="K139" s="1">
        <v>4</v>
      </c>
      <c r="L139" s="5"/>
      <c r="M139" s="3">
        <v>118</v>
      </c>
      <c r="N139" s="6" t="s">
        <v>96</v>
      </c>
      <c r="O139" s="7" t="s">
        <v>158</v>
      </c>
    </row>
    <row r="140" spans="1:15" ht="75" x14ac:dyDescent="0.25">
      <c r="A140">
        <v>8485</v>
      </c>
      <c r="B140" s="1">
        <v>22</v>
      </c>
      <c r="C140" s="21" t="s">
        <v>103</v>
      </c>
      <c r="D140">
        <v>2016</v>
      </c>
      <c r="E140" s="1">
        <v>42</v>
      </c>
      <c r="F140" s="3">
        <v>32.21</v>
      </c>
      <c r="G140" s="1">
        <v>4</v>
      </c>
      <c r="H140" s="3">
        <v>-26.676100000000002</v>
      </c>
      <c r="I140" s="3">
        <v>29.119299999999999</v>
      </c>
      <c r="J140" s="4" t="s">
        <v>1</v>
      </c>
      <c r="K140" s="1">
        <v>4.0999999999999996</v>
      </c>
      <c r="L140" s="5"/>
      <c r="M140" s="3">
        <v>6</v>
      </c>
      <c r="N140" s="6" t="s">
        <v>6</v>
      </c>
      <c r="O140" s="7" t="s">
        <v>149</v>
      </c>
    </row>
    <row r="141" spans="1:15" ht="30" x14ac:dyDescent="0.25">
      <c r="A141">
        <v>8486</v>
      </c>
      <c r="B141" s="1">
        <v>22</v>
      </c>
      <c r="C141" s="21" t="s">
        <v>103</v>
      </c>
      <c r="D141">
        <v>2016</v>
      </c>
      <c r="E141" s="1">
        <v>34</v>
      </c>
      <c r="F141" s="3">
        <v>49.72</v>
      </c>
      <c r="G141" s="1">
        <v>5</v>
      </c>
      <c r="H141" s="3">
        <v>35.738999999999997</v>
      </c>
      <c r="I141" s="3">
        <v>9.3804999999999996</v>
      </c>
      <c r="J141" s="4" t="s">
        <v>1</v>
      </c>
      <c r="K141" s="1">
        <v>4.0999999999999996</v>
      </c>
      <c r="L141" s="5"/>
      <c r="M141" s="3">
        <v>76</v>
      </c>
      <c r="N141" s="6" t="s">
        <v>2</v>
      </c>
      <c r="O141" s="7" t="s">
        <v>159</v>
      </c>
    </row>
    <row r="142" spans="1:15" ht="60" x14ac:dyDescent="0.25">
      <c r="A142">
        <v>8487</v>
      </c>
      <c r="B142" s="1">
        <v>22</v>
      </c>
      <c r="C142" s="21" t="s">
        <v>103</v>
      </c>
      <c r="D142">
        <v>2016</v>
      </c>
      <c r="E142" s="1">
        <v>50</v>
      </c>
      <c r="F142" s="3">
        <v>27.62</v>
      </c>
      <c r="G142" s="1">
        <v>13</v>
      </c>
      <c r="H142" s="3">
        <v>-26.489799999999999</v>
      </c>
      <c r="I142" s="3">
        <v>28.597100000000001</v>
      </c>
      <c r="J142" s="4" t="s">
        <v>1</v>
      </c>
      <c r="K142" s="1"/>
      <c r="L142" s="5">
        <v>2.7</v>
      </c>
      <c r="M142" s="3">
        <v>144</v>
      </c>
      <c r="N142" s="6" t="s">
        <v>6</v>
      </c>
      <c r="O142" s="7" t="s">
        <v>160</v>
      </c>
    </row>
    <row r="143" spans="1:15" ht="30" x14ac:dyDescent="0.25">
      <c r="A143">
        <v>8488</v>
      </c>
      <c r="B143" s="1">
        <v>22</v>
      </c>
      <c r="C143" s="21" t="s">
        <v>103</v>
      </c>
      <c r="D143">
        <v>2016</v>
      </c>
      <c r="E143" s="1">
        <v>39</v>
      </c>
      <c r="F143" s="3">
        <v>34.54</v>
      </c>
      <c r="G143" s="1">
        <v>17</v>
      </c>
      <c r="H143" s="3">
        <v>-1.0795999999999999</v>
      </c>
      <c r="I143" s="3">
        <v>37.5976</v>
      </c>
      <c r="J143" s="4" t="s">
        <v>1</v>
      </c>
      <c r="K143" s="1">
        <v>4.4000000000000004</v>
      </c>
      <c r="L143" s="5"/>
      <c r="M143" s="3">
        <v>152</v>
      </c>
      <c r="N143" s="6" t="s">
        <v>13</v>
      </c>
      <c r="O143" s="7" t="s">
        <v>161</v>
      </c>
    </row>
    <row r="144" spans="1:15" ht="45" x14ac:dyDescent="0.25">
      <c r="A144">
        <v>8489</v>
      </c>
      <c r="B144" s="8">
        <v>23</v>
      </c>
      <c r="C144" s="21" t="s">
        <v>103</v>
      </c>
      <c r="D144">
        <v>2016</v>
      </c>
      <c r="E144" s="8">
        <v>4</v>
      </c>
      <c r="F144" s="9">
        <v>13.56</v>
      </c>
      <c r="G144" s="8">
        <v>13</v>
      </c>
      <c r="H144" s="9">
        <v>12.5237</v>
      </c>
      <c r="I144" s="9">
        <v>2.4672999999999998</v>
      </c>
      <c r="J144" s="10" t="s">
        <v>1</v>
      </c>
      <c r="K144" s="8">
        <v>4.2</v>
      </c>
      <c r="L144" s="11"/>
      <c r="M144" s="9">
        <v>117</v>
      </c>
      <c r="N144" s="12" t="s">
        <v>15</v>
      </c>
      <c r="O144" s="13" t="s">
        <v>50</v>
      </c>
    </row>
    <row r="145" spans="1:15" ht="60" x14ac:dyDescent="0.25">
      <c r="A145">
        <v>8490</v>
      </c>
      <c r="B145" s="1">
        <v>23</v>
      </c>
      <c r="C145" s="21" t="s">
        <v>103</v>
      </c>
      <c r="D145">
        <v>2016</v>
      </c>
      <c r="E145" s="1">
        <v>49</v>
      </c>
      <c r="F145" s="3">
        <v>22.04</v>
      </c>
      <c r="G145" s="1">
        <v>18</v>
      </c>
      <c r="H145" s="3">
        <v>-26.4117</v>
      </c>
      <c r="I145" s="3">
        <v>27.752400000000002</v>
      </c>
      <c r="J145" s="4" t="s">
        <v>1</v>
      </c>
      <c r="K145" s="1"/>
      <c r="L145" s="5">
        <v>2.9</v>
      </c>
      <c r="M145" s="3">
        <v>134</v>
      </c>
      <c r="N145" s="6" t="s">
        <v>6</v>
      </c>
      <c r="O145" s="7" t="s">
        <v>160</v>
      </c>
    </row>
    <row r="146" spans="1:15" ht="60" x14ac:dyDescent="0.25">
      <c r="A146">
        <v>8491</v>
      </c>
      <c r="B146" s="1">
        <v>24</v>
      </c>
      <c r="C146" s="21" t="s">
        <v>103</v>
      </c>
      <c r="D146">
        <v>2016</v>
      </c>
      <c r="E146" s="1">
        <v>46</v>
      </c>
      <c r="F146" s="3">
        <v>26.99</v>
      </c>
      <c r="G146" s="1">
        <v>9</v>
      </c>
      <c r="H146" s="3">
        <v>-30.310300000000002</v>
      </c>
      <c r="I146" s="3">
        <v>26.958500000000001</v>
      </c>
      <c r="J146" s="4" t="s">
        <v>1</v>
      </c>
      <c r="K146" s="1">
        <v>4.5999999999999996</v>
      </c>
      <c r="L146" s="5"/>
      <c r="M146" s="3">
        <v>29</v>
      </c>
      <c r="N146" s="6" t="s">
        <v>6</v>
      </c>
      <c r="O146" s="7" t="s">
        <v>162</v>
      </c>
    </row>
    <row r="147" spans="1:15" ht="60" x14ac:dyDescent="0.25">
      <c r="A147">
        <v>8492</v>
      </c>
      <c r="B147" s="1">
        <v>25</v>
      </c>
      <c r="C147" s="21" t="s">
        <v>103</v>
      </c>
      <c r="D147">
        <v>2016</v>
      </c>
      <c r="E147" s="1">
        <v>39</v>
      </c>
      <c r="F147" s="3">
        <v>28.23</v>
      </c>
      <c r="G147" s="1">
        <v>4</v>
      </c>
      <c r="H147" s="3">
        <v>-28.266100000000002</v>
      </c>
      <c r="I147" s="3">
        <v>25.214300000000001</v>
      </c>
      <c r="J147" s="4" t="s">
        <v>1</v>
      </c>
      <c r="K147" s="1">
        <v>4.3</v>
      </c>
      <c r="L147" s="5"/>
      <c r="M147" s="3">
        <v>61</v>
      </c>
      <c r="N147" s="6" t="s">
        <v>6</v>
      </c>
      <c r="O147" s="7" t="s">
        <v>152</v>
      </c>
    </row>
    <row r="148" spans="1:15" ht="60" x14ac:dyDescent="0.25">
      <c r="A148">
        <v>8493</v>
      </c>
      <c r="B148" s="1">
        <v>26</v>
      </c>
      <c r="C148" s="21" t="s">
        <v>103</v>
      </c>
      <c r="D148">
        <v>2016</v>
      </c>
      <c r="E148" s="1">
        <v>29</v>
      </c>
      <c r="F148" s="3">
        <v>28.22</v>
      </c>
      <c r="G148" s="1">
        <v>8</v>
      </c>
      <c r="H148" s="3">
        <v>-22.725999999999999</v>
      </c>
      <c r="I148" s="3">
        <v>38.575800000000001</v>
      </c>
      <c r="J148" s="4" t="s">
        <v>1</v>
      </c>
      <c r="K148" s="1">
        <v>3.9</v>
      </c>
      <c r="L148" s="5"/>
      <c r="M148" s="3">
        <v>38</v>
      </c>
      <c r="N148" s="6" t="s">
        <v>75</v>
      </c>
      <c r="O148" s="23" t="s">
        <v>75</v>
      </c>
    </row>
    <row r="149" spans="1:15" ht="45" x14ac:dyDescent="0.25">
      <c r="A149">
        <v>8494</v>
      </c>
      <c r="B149" s="1">
        <v>26</v>
      </c>
      <c r="C149" s="21" t="s">
        <v>103</v>
      </c>
      <c r="D149">
        <v>2016</v>
      </c>
      <c r="E149" s="1">
        <v>31</v>
      </c>
      <c r="F149" s="3">
        <v>25.78</v>
      </c>
      <c r="G149" s="1">
        <v>8</v>
      </c>
      <c r="H149" s="3">
        <v>34.161900000000003</v>
      </c>
      <c r="I149" s="3">
        <v>10.9276</v>
      </c>
      <c r="J149" s="4" t="s">
        <v>1</v>
      </c>
      <c r="K149" s="1">
        <v>4</v>
      </c>
      <c r="L149" s="5"/>
      <c r="M149" s="3">
        <v>131</v>
      </c>
      <c r="N149" s="6" t="s">
        <v>2</v>
      </c>
      <c r="O149" s="7" t="s">
        <v>163</v>
      </c>
    </row>
    <row r="150" spans="1:15" ht="45" x14ac:dyDescent="0.25">
      <c r="A150">
        <v>8495</v>
      </c>
      <c r="B150" s="8">
        <v>26</v>
      </c>
      <c r="C150" s="21" t="s">
        <v>103</v>
      </c>
      <c r="D150">
        <v>2016</v>
      </c>
      <c r="E150" s="8">
        <v>25</v>
      </c>
      <c r="F150" s="9">
        <v>36.64</v>
      </c>
      <c r="G150" s="8">
        <v>20</v>
      </c>
      <c r="H150" s="9">
        <v>5.3323999999999998</v>
      </c>
      <c r="I150" s="9">
        <v>-4.6020000000000003</v>
      </c>
      <c r="J150" s="10" t="s">
        <v>1</v>
      </c>
      <c r="K150" s="8">
        <v>4.2</v>
      </c>
      <c r="L150" s="11"/>
      <c r="M150" s="9">
        <v>81</v>
      </c>
      <c r="N150" s="12" t="s">
        <v>15</v>
      </c>
      <c r="O150" s="13" t="s">
        <v>164</v>
      </c>
    </row>
    <row r="151" spans="1:15" ht="60" x14ac:dyDescent="0.25">
      <c r="A151">
        <v>8496</v>
      </c>
      <c r="B151" s="1">
        <v>27</v>
      </c>
      <c r="C151" s="21" t="s">
        <v>103</v>
      </c>
      <c r="D151">
        <v>2016</v>
      </c>
      <c r="E151" s="1">
        <v>35</v>
      </c>
      <c r="F151" s="3">
        <v>28.38</v>
      </c>
      <c r="G151" s="1">
        <v>13</v>
      </c>
      <c r="H151" s="3">
        <v>-28.601299999999998</v>
      </c>
      <c r="I151" s="3">
        <v>23.041</v>
      </c>
      <c r="J151" s="4" t="s">
        <v>1</v>
      </c>
      <c r="K151" s="1"/>
      <c r="L151" s="5"/>
      <c r="M151" s="3">
        <v>4</v>
      </c>
      <c r="N151" s="6" t="s">
        <v>6</v>
      </c>
      <c r="O151" s="7" t="s">
        <v>130</v>
      </c>
    </row>
    <row r="152" spans="1:15" ht="75" x14ac:dyDescent="0.25">
      <c r="A152">
        <v>8497</v>
      </c>
      <c r="B152" s="1">
        <v>28</v>
      </c>
      <c r="C152" s="21" t="s">
        <v>103</v>
      </c>
      <c r="D152">
        <v>2016</v>
      </c>
      <c r="E152" s="1">
        <v>12</v>
      </c>
      <c r="F152" s="3">
        <v>23.2</v>
      </c>
      <c r="G152" s="1">
        <v>13</v>
      </c>
      <c r="H152" s="3">
        <v>-26.997399999999999</v>
      </c>
      <c r="I152" s="3">
        <v>28.155200000000001</v>
      </c>
      <c r="J152" s="4" t="s">
        <v>1</v>
      </c>
      <c r="K152" s="1">
        <v>4.2</v>
      </c>
      <c r="L152" s="5"/>
      <c r="M152" s="3">
        <v>53</v>
      </c>
      <c r="N152" s="6" t="s">
        <v>28</v>
      </c>
      <c r="O152" s="7" t="s">
        <v>165</v>
      </c>
    </row>
    <row r="153" spans="1:15" ht="45" x14ac:dyDescent="0.25">
      <c r="A153">
        <v>8498</v>
      </c>
      <c r="B153" s="1">
        <v>28</v>
      </c>
      <c r="C153" s="21" t="s">
        <v>103</v>
      </c>
      <c r="D153">
        <v>2016</v>
      </c>
      <c r="E153" s="1">
        <v>57</v>
      </c>
      <c r="F153" s="3">
        <v>44.12</v>
      </c>
      <c r="G153" s="1">
        <v>14</v>
      </c>
      <c r="H153" s="5">
        <v>-1.6872</v>
      </c>
      <c r="I153" s="3">
        <v>37.479700000000001</v>
      </c>
      <c r="J153" s="4" t="s">
        <v>1</v>
      </c>
      <c r="K153" s="1">
        <v>3.8</v>
      </c>
      <c r="L153" s="5"/>
      <c r="M153" s="3">
        <v>36</v>
      </c>
      <c r="N153" s="6" t="s">
        <v>13</v>
      </c>
      <c r="O153" s="7" t="s">
        <v>166</v>
      </c>
    </row>
    <row r="154" spans="1:15" ht="45" x14ac:dyDescent="0.25">
      <c r="A154">
        <v>8499</v>
      </c>
      <c r="B154" s="1">
        <v>29</v>
      </c>
      <c r="C154" s="21" t="s">
        <v>103</v>
      </c>
      <c r="D154">
        <v>2016</v>
      </c>
      <c r="E154" s="1">
        <v>47</v>
      </c>
      <c r="F154" s="3">
        <v>34.840000000000003</v>
      </c>
      <c r="G154" s="1">
        <v>8</v>
      </c>
      <c r="H154" s="5">
        <v>35.091099999999997</v>
      </c>
      <c r="I154" s="3">
        <v>7.8494999999999999</v>
      </c>
      <c r="J154" s="4" t="s">
        <v>1</v>
      </c>
      <c r="K154" s="1">
        <v>4</v>
      </c>
      <c r="L154" s="5"/>
      <c r="M154" s="3">
        <v>166</v>
      </c>
      <c r="N154" s="6" t="s">
        <v>10</v>
      </c>
      <c r="O154" s="7" t="s">
        <v>167</v>
      </c>
    </row>
    <row r="155" spans="1:15" ht="60" x14ac:dyDescent="0.25">
      <c r="A155">
        <v>8500</v>
      </c>
      <c r="B155" s="1">
        <v>29</v>
      </c>
      <c r="C155" s="21" t="s">
        <v>103</v>
      </c>
      <c r="D155">
        <v>2016</v>
      </c>
      <c r="E155" s="1">
        <v>30</v>
      </c>
      <c r="F155" s="3">
        <v>38.729999999999997</v>
      </c>
      <c r="G155" s="1">
        <v>13</v>
      </c>
      <c r="H155" s="5">
        <v>-24.834800000000001</v>
      </c>
      <c r="I155" s="3">
        <v>30.909199999999998</v>
      </c>
      <c r="J155" s="4" t="s">
        <v>1</v>
      </c>
      <c r="K155" s="1"/>
      <c r="L155" s="5">
        <v>3.6</v>
      </c>
      <c r="M155" s="3">
        <v>141</v>
      </c>
      <c r="N155" s="6" t="s">
        <v>6</v>
      </c>
      <c r="O155" s="7" t="s">
        <v>168</v>
      </c>
    </row>
    <row r="156" spans="1:15" ht="45" x14ac:dyDescent="0.25">
      <c r="A156">
        <v>8501</v>
      </c>
      <c r="B156" s="1">
        <v>29</v>
      </c>
      <c r="C156" s="21" t="s">
        <v>103</v>
      </c>
      <c r="D156">
        <v>2016</v>
      </c>
      <c r="E156" s="1">
        <v>35</v>
      </c>
      <c r="F156" s="3">
        <v>40.58</v>
      </c>
      <c r="G156" s="1">
        <v>21</v>
      </c>
      <c r="H156" s="5">
        <v>26.686699999999998</v>
      </c>
      <c r="I156" s="3">
        <v>6.4923000000000002</v>
      </c>
      <c r="J156" s="4" t="s">
        <v>1</v>
      </c>
      <c r="K156" s="1">
        <v>5.2</v>
      </c>
      <c r="L156" s="5"/>
      <c r="M156" s="3">
        <v>116</v>
      </c>
      <c r="N156" s="6" t="s">
        <v>110</v>
      </c>
      <c r="O156" s="7" t="s">
        <v>123</v>
      </c>
    </row>
    <row r="157" spans="1:15" ht="45" x14ac:dyDescent="0.25">
      <c r="A157">
        <v>8502</v>
      </c>
      <c r="B157" s="1">
        <v>29</v>
      </c>
      <c r="C157" s="21" t="s">
        <v>103</v>
      </c>
      <c r="D157">
        <v>2016</v>
      </c>
      <c r="E157" s="1">
        <v>35</v>
      </c>
      <c r="F157" s="3">
        <v>28.03</v>
      </c>
      <c r="G157" s="1">
        <v>22</v>
      </c>
      <c r="H157" s="5">
        <v>23.046199999999999</v>
      </c>
      <c r="I157" s="3">
        <v>22.885200000000001</v>
      </c>
      <c r="J157" s="4" t="s">
        <v>1</v>
      </c>
      <c r="K157" s="1">
        <v>3.4</v>
      </c>
      <c r="L157" s="5"/>
      <c r="M157" s="3">
        <v>125</v>
      </c>
      <c r="N157" s="6" t="s">
        <v>48</v>
      </c>
      <c r="O157" s="7" t="s">
        <v>169</v>
      </c>
    </row>
    <row r="158" spans="1:15" ht="90" x14ac:dyDescent="0.25">
      <c r="A158">
        <v>8503</v>
      </c>
      <c r="B158" s="1">
        <v>30</v>
      </c>
      <c r="C158" s="21" t="s">
        <v>103</v>
      </c>
      <c r="D158">
        <v>2016</v>
      </c>
      <c r="E158" s="1">
        <v>16</v>
      </c>
      <c r="F158" s="3">
        <v>25.46</v>
      </c>
      <c r="G158" s="1">
        <v>8</v>
      </c>
      <c r="H158" s="5">
        <v>36.6051</v>
      </c>
      <c r="I158" s="3">
        <v>1.4217</v>
      </c>
      <c r="J158" s="4" t="s">
        <v>1</v>
      </c>
      <c r="K158" s="1"/>
      <c r="L158" s="5">
        <v>3.1</v>
      </c>
      <c r="M158" s="3">
        <v>22</v>
      </c>
      <c r="N158" s="6" t="s">
        <v>10</v>
      </c>
      <c r="O158" s="7" t="s">
        <v>170</v>
      </c>
    </row>
    <row r="159" spans="1:15" ht="45" x14ac:dyDescent="0.25">
      <c r="A159">
        <v>8504</v>
      </c>
      <c r="B159" s="24">
        <v>30</v>
      </c>
      <c r="C159" s="21" t="s">
        <v>103</v>
      </c>
      <c r="D159">
        <v>2016</v>
      </c>
      <c r="E159" s="24">
        <v>36</v>
      </c>
      <c r="F159" s="25">
        <v>20.03</v>
      </c>
      <c r="G159" s="24">
        <v>13</v>
      </c>
      <c r="H159" s="26">
        <v>25.714400000000001</v>
      </c>
      <c r="I159" s="25">
        <v>-4.4806999999999997</v>
      </c>
      <c r="J159" s="4" t="s">
        <v>1</v>
      </c>
      <c r="K159" s="24">
        <v>4</v>
      </c>
      <c r="L159" s="26">
        <v>3.6</v>
      </c>
      <c r="M159" s="25">
        <v>106</v>
      </c>
      <c r="N159" s="27" t="s">
        <v>110</v>
      </c>
      <c r="O159" s="28" t="s">
        <v>111</v>
      </c>
    </row>
    <row r="160" spans="1:15" ht="45" x14ac:dyDescent="0.25">
      <c r="A160">
        <v>8505</v>
      </c>
      <c r="B160" s="8">
        <v>30</v>
      </c>
      <c r="C160" s="21" t="s">
        <v>103</v>
      </c>
      <c r="D160">
        <v>2016</v>
      </c>
      <c r="E160" s="8">
        <v>45</v>
      </c>
      <c r="F160" s="9">
        <v>24.25</v>
      </c>
      <c r="G160" s="8">
        <v>13</v>
      </c>
      <c r="H160" s="11">
        <v>6.5397999999999996</v>
      </c>
      <c r="I160" s="9">
        <v>3.0697000000000001</v>
      </c>
      <c r="J160" s="10" t="s">
        <v>1</v>
      </c>
      <c r="K160" s="8">
        <v>4.0999999999999996</v>
      </c>
      <c r="L160" s="11">
        <v>3.5</v>
      </c>
      <c r="M160" s="9">
        <v>165</v>
      </c>
      <c r="N160" s="12" t="s">
        <v>15</v>
      </c>
      <c r="O160" s="13" t="s">
        <v>171</v>
      </c>
    </row>
    <row r="161" spans="1:15" ht="45" x14ac:dyDescent="0.25">
      <c r="A161">
        <v>8506</v>
      </c>
      <c r="B161" s="8">
        <v>30</v>
      </c>
      <c r="C161" s="21" t="s">
        <v>103</v>
      </c>
      <c r="D161">
        <v>2016</v>
      </c>
      <c r="E161" s="8">
        <v>14</v>
      </c>
      <c r="F161" s="9">
        <v>18.93</v>
      </c>
      <c r="G161" s="8">
        <v>19</v>
      </c>
      <c r="H161" s="11">
        <v>22.960799999999999</v>
      </c>
      <c r="I161" s="9">
        <v>-11.936299999999999</v>
      </c>
      <c r="J161" s="10" t="s">
        <v>1</v>
      </c>
      <c r="K161" s="8">
        <v>3.6</v>
      </c>
      <c r="L161" s="11">
        <v>4</v>
      </c>
      <c r="M161" s="9">
        <v>90</v>
      </c>
      <c r="N161" s="12" t="s">
        <v>15</v>
      </c>
      <c r="O161" s="13" t="s">
        <v>172</v>
      </c>
    </row>
    <row r="162" spans="1:15" ht="90" x14ac:dyDescent="0.25">
      <c r="A162">
        <v>8507</v>
      </c>
      <c r="B162" s="8">
        <v>30</v>
      </c>
      <c r="C162" s="21" t="s">
        <v>103</v>
      </c>
      <c r="D162">
        <v>2016</v>
      </c>
      <c r="E162" s="8">
        <v>49</v>
      </c>
      <c r="F162" s="9">
        <v>27.54</v>
      </c>
      <c r="G162" s="8">
        <v>23</v>
      </c>
      <c r="H162" s="11">
        <v>7.2647000000000004</v>
      </c>
      <c r="I162" s="9">
        <v>-5.6101999999999999</v>
      </c>
      <c r="J162" s="10" t="s">
        <v>1</v>
      </c>
      <c r="K162" s="8">
        <v>3.33</v>
      </c>
      <c r="L162" s="11">
        <v>3.8</v>
      </c>
      <c r="M162" s="9">
        <v>68</v>
      </c>
      <c r="N162" s="12" t="s">
        <v>15</v>
      </c>
      <c r="O162" s="13" t="s">
        <v>173</v>
      </c>
    </row>
    <row r="163" spans="1:15" ht="60" x14ac:dyDescent="0.25">
      <c r="A163">
        <v>8508</v>
      </c>
      <c r="B163" s="24">
        <v>31</v>
      </c>
      <c r="C163" s="21" t="s">
        <v>103</v>
      </c>
      <c r="D163">
        <v>2016</v>
      </c>
      <c r="E163" s="24">
        <v>38</v>
      </c>
      <c r="F163" s="25">
        <v>8.82</v>
      </c>
      <c r="G163" s="24">
        <v>15</v>
      </c>
      <c r="H163" s="26">
        <v>-29.1035</v>
      </c>
      <c r="I163" s="25">
        <v>23.742799999999999</v>
      </c>
      <c r="J163" s="4" t="s">
        <v>1</v>
      </c>
      <c r="K163" s="24">
        <v>4.2</v>
      </c>
      <c r="L163" s="26"/>
      <c r="M163" s="25">
        <v>165</v>
      </c>
      <c r="N163" s="27" t="s">
        <v>6</v>
      </c>
      <c r="O163" s="28" t="s">
        <v>174</v>
      </c>
    </row>
    <row r="164" spans="1:15" ht="45" x14ac:dyDescent="0.25">
      <c r="A164">
        <v>8509</v>
      </c>
      <c r="B164" s="8">
        <v>31</v>
      </c>
      <c r="C164" s="21" t="s">
        <v>103</v>
      </c>
      <c r="D164">
        <v>2016</v>
      </c>
      <c r="E164" s="8">
        <v>26</v>
      </c>
      <c r="F164" s="9">
        <v>20.6</v>
      </c>
      <c r="G164" s="8">
        <v>21</v>
      </c>
      <c r="H164" s="11">
        <v>6.62</v>
      </c>
      <c r="I164" s="9">
        <v>-4.7666000000000004</v>
      </c>
      <c r="J164" s="10" t="s">
        <v>1</v>
      </c>
      <c r="K164" s="8">
        <v>4.2</v>
      </c>
      <c r="L164" s="11"/>
      <c r="M164" s="9">
        <v>119</v>
      </c>
      <c r="N164" s="12" t="s">
        <v>15</v>
      </c>
      <c r="O164" s="13" t="s">
        <v>175</v>
      </c>
    </row>
    <row r="165" spans="1:15" ht="45" x14ac:dyDescent="0.25">
      <c r="A165">
        <v>8510</v>
      </c>
      <c r="B165" s="8">
        <v>1</v>
      </c>
      <c r="C165" s="21" t="s">
        <v>176</v>
      </c>
      <c r="D165">
        <v>2016</v>
      </c>
      <c r="E165" s="8">
        <v>16</v>
      </c>
      <c r="F165" s="9">
        <v>26.05</v>
      </c>
      <c r="G165" s="8">
        <v>7</v>
      </c>
      <c r="H165" s="11">
        <v>13.1492</v>
      </c>
      <c r="I165" s="9">
        <v>1.6818</v>
      </c>
      <c r="J165" s="11" t="s">
        <v>1</v>
      </c>
      <c r="K165" s="8">
        <v>4</v>
      </c>
      <c r="L165" s="11"/>
      <c r="M165" s="9">
        <v>97</v>
      </c>
      <c r="N165" s="12" t="s">
        <v>15</v>
      </c>
      <c r="O165" s="13" t="s">
        <v>50</v>
      </c>
    </row>
    <row r="166" spans="1:15" ht="60" x14ac:dyDescent="0.25">
      <c r="A166">
        <v>8511</v>
      </c>
      <c r="B166" s="24">
        <v>1</v>
      </c>
      <c r="C166" s="29" t="s">
        <v>176</v>
      </c>
      <c r="D166">
        <v>2016</v>
      </c>
      <c r="E166" s="24">
        <v>48</v>
      </c>
      <c r="F166" s="25">
        <v>35.299999999999997</v>
      </c>
      <c r="G166" s="24">
        <v>7</v>
      </c>
      <c r="H166" s="26">
        <v>-14.1632</v>
      </c>
      <c r="I166" s="25">
        <v>48.086199999999998</v>
      </c>
      <c r="J166" s="26" t="s">
        <v>1</v>
      </c>
      <c r="K166" s="24">
        <v>4.4000000000000004</v>
      </c>
      <c r="L166" s="26"/>
      <c r="M166" s="25">
        <v>126</v>
      </c>
      <c r="N166" s="27" t="s">
        <v>177</v>
      </c>
      <c r="O166" s="28" t="s">
        <v>178</v>
      </c>
    </row>
    <row r="167" spans="1:15" ht="60" x14ac:dyDescent="0.25">
      <c r="A167">
        <v>8512</v>
      </c>
      <c r="B167" s="24">
        <v>2</v>
      </c>
      <c r="C167" s="29" t="s">
        <v>176</v>
      </c>
      <c r="D167">
        <v>2016</v>
      </c>
      <c r="E167" s="24">
        <v>45</v>
      </c>
      <c r="F167" s="25">
        <v>45.05</v>
      </c>
      <c r="G167" s="24">
        <v>5</v>
      </c>
      <c r="H167" s="26">
        <v>-26.269400000000001</v>
      </c>
      <c r="I167" s="25">
        <v>27.7773</v>
      </c>
      <c r="J167" s="26" t="s">
        <v>1</v>
      </c>
      <c r="K167" s="24">
        <v>4.5</v>
      </c>
      <c r="L167" s="26">
        <v>2.4</v>
      </c>
      <c r="M167" s="25">
        <v>126</v>
      </c>
      <c r="N167" s="27" t="s">
        <v>6</v>
      </c>
      <c r="O167" s="28" t="s">
        <v>179</v>
      </c>
    </row>
    <row r="168" spans="1:15" ht="90" x14ac:dyDescent="0.25">
      <c r="A168">
        <v>8513</v>
      </c>
      <c r="B168" s="24">
        <v>2</v>
      </c>
      <c r="C168" s="29" t="s">
        <v>176</v>
      </c>
      <c r="D168">
        <v>2016</v>
      </c>
      <c r="E168" s="24">
        <v>45</v>
      </c>
      <c r="F168" s="25">
        <v>26.93</v>
      </c>
      <c r="G168" s="24">
        <v>13</v>
      </c>
      <c r="H168" s="26">
        <v>-36.613399999999999</v>
      </c>
      <c r="I168" s="25">
        <v>34.615699999999997</v>
      </c>
      <c r="J168" s="26" t="s">
        <v>1</v>
      </c>
      <c r="K168" s="24">
        <v>3.7</v>
      </c>
      <c r="L168" s="26">
        <v>3.3</v>
      </c>
      <c r="M168" s="25">
        <v>50</v>
      </c>
      <c r="N168" s="27" t="s">
        <v>24</v>
      </c>
      <c r="O168" s="28" t="s">
        <v>180</v>
      </c>
    </row>
    <row r="169" spans="1:15" ht="60" x14ac:dyDescent="0.25">
      <c r="A169">
        <v>8514</v>
      </c>
      <c r="B169" s="8">
        <v>2</v>
      </c>
      <c r="C169" s="21" t="s">
        <v>176</v>
      </c>
      <c r="D169">
        <v>2016</v>
      </c>
      <c r="E169" s="8">
        <v>56</v>
      </c>
      <c r="F169" s="9">
        <v>5.78</v>
      </c>
      <c r="G169" s="8">
        <v>17</v>
      </c>
      <c r="H169" s="11">
        <v>6.7221000000000002</v>
      </c>
      <c r="I169" s="9">
        <v>-3.8140999999999998</v>
      </c>
      <c r="J169" s="11" t="s">
        <v>1</v>
      </c>
      <c r="K169" s="8">
        <v>4.3</v>
      </c>
      <c r="L169" s="11"/>
      <c r="M169" s="9">
        <v>9</v>
      </c>
      <c r="N169" s="12" t="s">
        <v>15</v>
      </c>
      <c r="O169" s="13" t="s">
        <v>181</v>
      </c>
    </row>
    <row r="170" spans="1:15" ht="60" x14ac:dyDescent="0.25">
      <c r="A170">
        <v>8515</v>
      </c>
      <c r="B170" s="24">
        <v>3</v>
      </c>
      <c r="C170" s="29" t="s">
        <v>176</v>
      </c>
      <c r="D170">
        <v>2016</v>
      </c>
      <c r="E170" s="24">
        <v>39</v>
      </c>
      <c r="F170" s="25">
        <v>13.94</v>
      </c>
      <c r="G170" s="24">
        <v>14</v>
      </c>
      <c r="H170" s="26">
        <v>-28.830500000000001</v>
      </c>
      <c r="I170" s="25">
        <v>25.811699999999998</v>
      </c>
      <c r="J170" s="26" t="s">
        <v>1</v>
      </c>
      <c r="K170" s="24"/>
      <c r="L170" s="26"/>
      <c r="M170" s="25">
        <v>156</v>
      </c>
      <c r="N170" s="27" t="s">
        <v>6</v>
      </c>
      <c r="O170" s="28" t="s">
        <v>68</v>
      </c>
    </row>
    <row r="171" spans="1:15" ht="60" x14ac:dyDescent="0.25">
      <c r="A171">
        <v>8516</v>
      </c>
      <c r="B171" s="24">
        <v>3</v>
      </c>
      <c r="C171" s="29" t="s">
        <v>176</v>
      </c>
      <c r="D171">
        <v>2016</v>
      </c>
      <c r="E171" s="24">
        <v>9</v>
      </c>
      <c r="F171" s="25">
        <v>36.89</v>
      </c>
      <c r="G171" s="24">
        <v>16</v>
      </c>
      <c r="H171" s="26">
        <v>-1.0882000000000001</v>
      </c>
      <c r="I171" s="25">
        <v>37.6006</v>
      </c>
      <c r="J171" s="26" t="s">
        <v>1</v>
      </c>
      <c r="K171" s="24">
        <v>4.3</v>
      </c>
      <c r="L171" s="26"/>
      <c r="M171" s="25">
        <v>28</v>
      </c>
      <c r="N171" s="27" t="s">
        <v>13</v>
      </c>
      <c r="O171" s="28" t="s">
        <v>182</v>
      </c>
    </row>
    <row r="172" spans="1:15" ht="75" x14ac:dyDescent="0.25">
      <c r="A172">
        <v>8517</v>
      </c>
      <c r="B172" s="8">
        <v>3</v>
      </c>
      <c r="C172" s="21" t="s">
        <v>176</v>
      </c>
      <c r="D172">
        <v>2016</v>
      </c>
      <c r="E172" s="8">
        <v>8</v>
      </c>
      <c r="F172" s="9">
        <v>54.03</v>
      </c>
      <c r="G172" s="8">
        <v>18</v>
      </c>
      <c r="H172" s="11">
        <v>9.8306000000000004</v>
      </c>
      <c r="I172" s="9">
        <v>-7.4961000000000002</v>
      </c>
      <c r="J172" s="11" t="s">
        <v>1</v>
      </c>
      <c r="K172" s="8">
        <v>3.6</v>
      </c>
      <c r="L172" s="11">
        <v>2.2999999999999998</v>
      </c>
      <c r="M172" s="9">
        <v>31</v>
      </c>
      <c r="N172" s="12" t="s">
        <v>15</v>
      </c>
      <c r="O172" s="13" t="s">
        <v>183</v>
      </c>
    </row>
    <row r="173" spans="1:15" ht="60" x14ac:dyDescent="0.25">
      <c r="A173">
        <v>8518</v>
      </c>
      <c r="B173" s="24">
        <v>5</v>
      </c>
      <c r="C173" s="29" t="s">
        <v>176</v>
      </c>
      <c r="D173">
        <v>2016</v>
      </c>
      <c r="E173" s="24">
        <v>38</v>
      </c>
      <c r="F173" s="25">
        <v>30.63</v>
      </c>
      <c r="G173" s="24">
        <v>21</v>
      </c>
      <c r="H173" s="26">
        <v>26.0656</v>
      </c>
      <c r="I173" s="25">
        <v>25.704999999999998</v>
      </c>
      <c r="J173" s="26" t="s">
        <v>1</v>
      </c>
      <c r="K173" s="24">
        <v>3.3</v>
      </c>
      <c r="L173" s="26"/>
      <c r="M173" s="25">
        <v>167</v>
      </c>
      <c r="N173" s="27" t="s">
        <v>72</v>
      </c>
      <c r="O173" s="28" t="s">
        <v>184</v>
      </c>
    </row>
    <row r="174" spans="1:15" ht="60" x14ac:dyDescent="0.25">
      <c r="A174">
        <v>8519</v>
      </c>
      <c r="B174" s="24">
        <v>5</v>
      </c>
      <c r="C174" s="29" t="s">
        <v>176</v>
      </c>
      <c r="D174">
        <v>2016</v>
      </c>
      <c r="E174" s="24">
        <v>18</v>
      </c>
      <c r="F174" s="25">
        <v>29.29</v>
      </c>
      <c r="G174" s="24">
        <v>23</v>
      </c>
      <c r="H174" s="26">
        <v>6.2771999999999997</v>
      </c>
      <c r="I174" s="25">
        <v>-4.4439000000000002</v>
      </c>
      <c r="J174" s="26" t="s">
        <v>1</v>
      </c>
      <c r="K174" s="24">
        <v>4.4000000000000004</v>
      </c>
      <c r="L174" s="26"/>
      <c r="M174" s="25">
        <v>58</v>
      </c>
      <c r="N174" s="27" t="s">
        <v>15</v>
      </c>
      <c r="O174" s="28" t="s">
        <v>181</v>
      </c>
    </row>
    <row r="175" spans="1:15" ht="60" x14ac:dyDescent="0.25">
      <c r="A175">
        <v>8520</v>
      </c>
      <c r="B175" s="24">
        <v>6</v>
      </c>
      <c r="C175" s="29" t="s">
        <v>176</v>
      </c>
      <c r="D175">
        <v>2016</v>
      </c>
      <c r="E175" s="24">
        <v>45</v>
      </c>
      <c r="F175" s="25">
        <v>49.28</v>
      </c>
      <c r="G175" s="24">
        <v>13</v>
      </c>
      <c r="H175" s="26">
        <v>27.2073</v>
      </c>
      <c r="I175" s="25">
        <v>20.9224</v>
      </c>
      <c r="J175" s="26" t="s">
        <v>1</v>
      </c>
      <c r="K175" s="24">
        <v>4</v>
      </c>
      <c r="L175" s="26"/>
      <c r="M175" s="25">
        <v>137</v>
      </c>
      <c r="N175" s="27" t="s">
        <v>48</v>
      </c>
      <c r="O175" s="28" t="s">
        <v>185</v>
      </c>
    </row>
    <row r="176" spans="1:15" ht="60" x14ac:dyDescent="0.25">
      <c r="A176">
        <v>8521</v>
      </c>
      <c r="B176" s="8">
        <v>7</v>
      </c>
      <c r="C176" s="21" t="s">
        <v>176</v>
      </c>
      <c r="D176">
        <v>2016</v>
      </c>
      <c r="E176" s="8">
        <v>39</v>
      </c>
      <c r="F176" s="9">
        <v>31.52</v>
      </c>
      <c r="G176" s="8">
        <v>22</v>
      </c>
      <c r="H176" s="11">
        <v>6.3036000000000003</v>
      </c>
      <c r="I176" s="9">
        <v>-3.4472999999999998</v>
      </c>
      <c r="J176" s="11" t="s">
        <v>1</v>
      </c>
      <c r="K176" s="8">
        <v>4.0999999999999996</v>
      </c>
      <c r="L176" s="11"/>
      <c r="M176" s="9">
        <v>11</v>
      </c>
      <c r="N176" s="12" t="s">
        <v>15</v>
      </c>
      <c r="O176" s="13" t="s">
        <v>186</v>
      </c>
    </row>
    <row r="177" spans="1:15" ht="30" x14ac:dyDescent="0.25">
      <c r="A177">
        <v>8522</v>
      </c>
      <c r="B177" s="24">
        <v>8</v>
      </c>
      <c r="C177" s="29" t="s">
        <v>176</v>
      </c>
      <c r="D177">
        <v>2016</v>
      </c>
      <c r="E177" s="24">
        <v>39</v>
      </c>
      <c r="F177" s="25">
        <v>13.22</v>
      </c>
      <c r="G177" s="24">
        <v>4</v>
      </c>
      <c r="H177" s="26">
        <v>15.078799999999999</v>
      </c>
      <c r="I177" s="25">
        <v>21.138200000000001</v>
      </c>
      <c r="J177" s="26" t="s">
        <v>1</v>
      </c>
      <c r="K177" s="24">
        <v>4.2</v>
      </c>
      <c r="L177" s="26">
        <v>3.3</v>
      </c>
      <c r="M177" s="25">
        <v>128</v>
      </c>
      <c r="N177" s="27" t="s">
        <v>139</v>
      </c>
      <c r="O177" s="28" t="s">
        <v>187</v>
      </c>
    </row>
    <row r="178" spans="1:15" ht="60" x14ac:dyDescent="0.25">
      <c r="A178">
        <v>8523</v>
      </c>
      <c r="B178" s="24">
        <v>8</v>
      </c>
      <c r="C178" s="29" t="s">
        <v>176</v>
      </c>
      <c r="D178">
        <v>2016</v>
      </c>
      <c r="E178" s="24">
        <v>45</v>
      </c>
      <c r="F178" s="25">
        <v>8.7100000000000009</v>
      </c>
      <c r="G178" s="24">
        <v>4</v>
      </c>
      <c r="H178" s="26">
        <v>-28.988</v>
      </c>
      <c r="I178" s="25">
        <v>25.821300000000001</v>
      </c>
      <c r="J178" s="26" t="s">
        <v>1</v>
      </c>
      <c r="K178" s="24">
        <v>4</v>
      </c>
      <c r="L178" s="26"/>
      <c r="M178" s="25">
        <v>175</v>
      </c>
      <c r="N178" s="27" t="s">
        <v>6</v>
      </c>
      <c r="O178" s="28" t="s">
        <v>69</v>
      </c>
    </row>
    <row r="179" spans="1:15" ht="45" x14ac:dyDescent="0.25">
      <c r="A179">
        <v>8524</v>
      </c>
      <c r="B179" s="24">
        <v>8</v>
      </c>
      <c r="C179" s="29" t="s">
        <v>176</v>
      </c>
      <c r="D179">
        <v>2016</v>
      </c>
      <c r="E179" s="24">
        <v>45</v>
      </c>
      <c r="F179" s="25">
        <v>48.02</v>
      </c>
      <c r="G179" s="24">
        <v>23</v>
      </c>
      <c r="H179" s="26">
        <v>6.8135000000000003</v>
      </c>
      <c r="I179" s="25">
        <v>-5.5674000000000001</v>
      </c>
      <c r="J179" s="26" t="s">
        <v>1</v>
      </c>
      <c r="K179" s="24"/>
      <c r="L179" s="26">
        <v>2.9</v>
      </c>
      <c r="M179" s="25">
        <v>45</v>
      </c>
      <c r="N179" s="27" t="s">
        <v>15</v>
      </c>
      <c r="O179" s="28" t="s">
        <v>188</v>
      </c>
    </row>
    <row r="180" spans="1:15" ht="45" x14ac:dyDescent="0.25">
      <c r="A180">
        <v>8525</v>
      </c>
      <c r="B180" s="24">
        <v>9</v>
      </c>
      <c r="C180" s="29" t="s">
        <v>176</v>
      </c>
      <c r="D180">
        <v>2016</v>
      </c>
      <c r="E180" s="24">
        <v>22</v>
      </c>
      <c r="F180" s="25">
        <v>17.809999999999999</v>
      </c>
      <c r="G180" s="24">
        <v>2</v>
      </c>
      <c r="H180" s="26">
        <v>-0.89200000000000002</v>
      </c>
      <c r="I180" s="25">
        <v>37.5291</v>
      </c>
      <c r="J180" s="26" t="s">
        <v>1</v>
      </c>
      <c r="K180" s="24">
        <v>4.0999999999999996</v>
      </c>
      <c r="L180" s="26"/>
      <c r="M180" s="25"/>
      <c r="N180" s="27" t="s">
        <v>13</v>
      </c>
      <c r="O180" s="28" t="s">
        <v>189</v>
      </c>
    </row>
    <row r="181" spans="1:15" ht="45" x14ac:dyDescent="0.25">
      <c r="A181">
        <v>8526</v>
      </c>
      <c r="B181" s="24">
        <v>10</v>
      </c>
      <c r="C181" s="29" t="s">
        <v>176</v>
      </c>
      <c r="D181">
        <v>2016</v>
      </c>
      <c r="E181" s="24">
        <v>57</v>
      </c>
      <c r="F181" s="25">
        <v>26.91</v>
      </c>
      <c r="G181" s="24">
        <v>14</v>
      </c>
      <c r="H181" s="26">
        <v>-6.51</v>
      </c>
      <c r="I181" s="25">
        <v>37.779800000000002</v>
      </c>
      <c r="J181" s="26" t="s">
        <v>1</v>
      </c>
      <c r="K181" s="24">
        <v>4.4000000000000004</v>
      </c>
      <c r="L181" s="26"/>
      <c r="M181" s="25">
        <v>115</v>
      </c>
      <c r="N181" s="27" t="s">
        <v>96</v>
      </c>
      <c r="O181" s="28" t="s">
        <v>190</v>
      </c>
    </row>
    <row r="182" spans="1:15" ht="120" x14ac:dyDescent="0.25">
      <c r="A182">
        <v>8527</v>
      </c>
      <c r="B182" s="24">
        <v>11</v>
      </c>
      <c r="C182" s="29" t="s">
        <v>176</v>
      </c>
      <c r="D182">
        <v>2016</v>
      </c>
      <c r="E182" s="24">
        <v>14</v>
      </c>
      <c r="F182" s="25">
        <v>52.77</v>
      </c>
      <c r="G182" s="24">
        <v>10</v>
      </c>
      <c r="H182" s="26">
        <v>-26.279499999999999</v>
      </c>
      <c r="I182" s="25">
        <v>28.061699999999998</v>
      </c>
      <c r="J182" s="26" t="s">
        <v>1</v>
      </c>
      <c r="K182" s="24">
        <v>4.4000000000000004</v>
      </c>
      <c r="L182" s="26">
        <v>2.2999999999999998</v>
      </c>
      <c r="M182" s="25">
        <v>146</v>
      </c>
      <c r="N182" s="27" t="s">
        <v>6</v>
      </c>
      <c r="O182" s="28" t="s">
        <v>191</v>
      </c>
    </row>
    <row r="183" spans="1:15" ht="60" x14ac:dyDescent="0.25">
      <c r="A183">
        <v>8528</v>
      </c>
      <c r="B183" s="24">
        <v>11</v>
      </c>
      <c r="C183" s="29" t="s">
        <v>176</v>
      </c>
      <c r="D183">
        <v>2016</v>
      </c>
      <c r="E183" s="24">
        <v>46</v>
      </c>
      <c r="F183" s="25">
        <v>6.77</v>
      </c>
      <c r="G183" s="24">
        <v>10</v>
      </c>
      <c r="H183" s="26">
        <v>-27.001100000000001</v>
      </c>
      <c r="I183" s="25">
        <v>29.536899999999999</v>
      </c>
      <c r="J183" s="26" t="s">
        <v>1</v>
      </c>
      <c r="K183" s="24">
        <v>4.5</v>
      </c>
      <c r="L183" s="26">
        <v>2.7</v>
      </c>
      <c r="M183" s="25">
        <v>156</v>
      </c>
      <c r="N183" s="27" t="s">
        <v>6</v>
      </c>
      <c r="O183" s="28" t="s">
        <v>192</v>
      </c>
    </row>
    <row r="184" spans="1:15" ht="60" x14ac:dyDescent="0.25">
      <c r="A184">
        <v>8529</v>
      </c>
      <c r="B184" s="24">
        <v>11</v>
      </c>
      <c r="C184" s="29" t="s">
        <v>176</v>
      </c>
      <c r="D184">
        <v>2016</v>
      </c>
      <c r="E184" s="24">
        <v>12</v>
      </c>
      <c r="F184" s="25">
        <v>38.67</v>
      </c>
      <c r="G184" s="24">
        <v>13</v>
      </c>
      <c r="H184" s="26">
        <v>-27.117999999999999</v>
      </c>
      <c r="I184" s="25">
        <v>28.545200000000001</v>
      </c>
      <c r="J184" s="26" t="s">
        <v>1</v>
      </c>
      <c r="K184" s="24"/>
      <c r="L184" s="26">
        <v>2.7</v>
      </c>
      <c r="M184" s="25">
        <v>152</v>
      </c>
      <c r="N184" s="27" t="s">
        <v>6</v>
      </c>
      <c r="O184" s="28" t="s">
        <v>193</v>
      </c>
    </row>
    <row r="185" spans="1:15" ht="60" x14ac:dyDescent="0.25">
      <c r="A185">
        <v>8530</v>
      </c>
      <c r="B185" s="24">
        <v>11</v>
      </c>
      <c r="C185" s="29" t="s">
        <v>176</v>
      </c>
      <c r="D185">
        <v>2016</v>
      </c>
      <c r="E185" s="24">
        <v>27</v>
      </c>
      <c r="F185" s="25">
        <v>2.99</v>
      </c>
      <c r="G185" s="24">
        <v>17</v>
      </c>
      <c r="H185" s="26">
        <v>-26.59</v>
      </c>
      <c r="I185" s="25">
        <v>26.988</v>
      </c>
      <c r="J185" s="26" t="s">
        <v>1</v>
      </c>
      <c r="K185" s="24">
        <v>3.9</v>
      </c>
      <c r="L185" s="26">
        <v>2</v>
      </c>
      <c r="M185" s="25">
        <v>139</v>
      </c>
      <c r="N185" s="27" t="s">
        <v>6</v>
      </c>
      <c r="O185" s="28" t="s">
        <v>194</v>
      </c>
    </row>
    <row r="186" spans="1:15" ht="45" x14ac:dyDescent="0.25">
      <c r="A186">
        <v>8531</v>
      </c>
      <c r="B186" s="24">
        <v>11</v>
      </c>
      <c r="C186" s="29" t="s">
        <v>176</v>
      </c>
      <c r="D186">
        <v>2016</v>
      </c>
      <c r="E186" s="24">
        <v>25</v>
      </c>
      <c r="F186" s="25">
        <v>44.07</v>
      </c>
      <c r="G186" s="24">
        <v>22</v>
      </c>
      <c r="H186" s="26">
        <v>-0.58979999999999999</v>
      </c>
      <c r="I186" s="25">
        <v>38.1661</v>
      </c>
      <c r="J186" s="26" t="s">
        <v>1</v>
      </c>
      <c r="K186" s="24">
        <v>4</v>
      </c>
      <c r="L186" s="26"/>
      <c r="M186" s="25">
        <v>132</v>
      </c>
      <c r="N186" s="27" t="s">
        <v>13</v>
      </c>
      <c r="O186" s="28" t="s">
        <v>45</v>
      </c>
    </row>
    <row r="187" spans="1:15" ht="45" x14ac:dyDescent="0.25">
      <c r="A187">
        <v>8532</v>
      </c>
      <c r="B187" s="8">
        <v>12</v>
      </c>
      <c r="C187" s="21" t="s">
        <v>176</v>
      </c>
      <c r="D187">
        <v>2016</v>
      </c>
      <c r="E187" s="8">
        <v>48</v>
      </c>
      <c r="F187" s="9">
        <v>4</v>
      </c>
      <c r="G187" s="8">
        <v>1</v>
      </c>
      <c r="H187" s="11">
        <v>13.9842</v>
      </c>
      <c r="I187" s="9">
        <v>0.2072</v>
      </c>
      <c r="J187" s="11" t="s">
        <v>1</v>
      </c>
      <c r="K187" s="8">
        <v>4.3</v>
      </c>
      <c r="L187" s="11"/>
      <c r="M187" s="9">
        <v>110</v>
      </c>
      <c r="N187" s="12" t="s">
        <v>15</v>
      </c>
      <c r="O187" s="13" t="s">
        <v>195</v>
      </c>
    </row>
    <row r="188" spans="1:15" ht="45" x14ac:dyDescent="0.25">
      <c r="A188">
        <v>8533</v>
      </c>
      <c r="B188" s="24">
        <v>12</v>
      </c>
      <c r="C188" s="29" t="s">
        <v>176</v>
      </c>
      <c r="D188">
        <v>2016</v>
      </c>
      <c r="E188" s="24">
        <v>52</v>
      </c>
      <c r="F188" s="25">
        <v>45.05</v>
      </c>
      <c r="G188" s="24">
        <v>1</v>
      </c>
      <c r="H188" s="26">
        <v>35.456899999999997</v>
      </c>
      <c r="I188" s="25">
        <v>5.9212999999999996</v>
      </c>
      <c r="J188" s="26" t="s">
        <v>1</v>
      </c>
      <c r="K188" s="24">
        <v>3.9</v>
      </c>
      <c r="L188" s="26"/>
      <c r="M188" s="25">
        <v>167</v>
      </c>
      <c r="N188" s="27" t="s">
        <v>10</v>
      </c>
      <c r="O188" s="28" t="s">
        <v>196</v>
      </c>
    </row>
    <row r="189" spans="1:15" ht="90" x14ac:dyDescent="0.25">
      <c r="A189">
        <v>8534</v>
      </c>
      <c r="B189" s="24">
        <v>12</v>
      </c>
      <c r="C189" s="29" t="s">
        <v>176</v>
      </c>
      <c r="D189">
        <v>2016</v>
      </c>
      <c r="E189" s="24">
        <v>6</v>
      </c>
      <c r="F189" s="25">
        <v>27.02</v>
      </c>
      <c r="G189" s="24">
        <v>13</v>
      </c>
      <c r="H189" s="26">
        <v>-31.203499999999998</v>
      </c>
      <c r="I189" s="25">
        <v>30.8916</v>
      </c>
      <c r="J189" s="26" t="s">
        <v>1</v>
      </c>
      <c r="K189" s="24">
        <v>4.4000000000000004</v>
      </c>
      <c r="L189" s="26">
        <v>3.1</v>
      </c>
      <c r="M189" s="25">
        <v>57</v>
      </c>
      <c r="N189" s="27" t="s">
        <v>6</v>
      </c>
      <c r="O189" s="28" t="s">
        <v>197</v>
      </c>
    </row>
    <row r="190" spans="1:15" ht="90" x14ac:dyDescent="0.25">
      <c r="A190">
        <v>8535</v>
      </c>
      <c r="B190" s="8">
        <v>12</v>
      </c>
      <c r="C190" s="21" t="s">
        <v>176</v>
      </c>
      <c r="D190">
        <v>2016</v>
      </c>
      <c r="E190" s="8">
        <v>14</v>
      </c>
      <c r="F190" s="9">
        <v>12.85</v>
      </c>
      <c r="G190" s="8">
        <v>19</v>
      </c>
      <c r="H190" s="11">
        <v>12.2349</v>
      </c>
      <c r="I190" s="9">
        <v>2.0205000000000002</v>
      </c>
      <c r="J190" s="11" t="s">
        <v>1</v>
      </c>
      <c r="K190" s="8">
        <v>4</v>
      </c>
      <c r="L190" s="11"/>
      <c r="M190" s="9">
        <v>152</v>
      </c>
      <c r="N190" s="12" t="s">
        <v>15</v>
      </c>
      <c r="O190" s="13" t="s">
        <v>198</v>
      </c>
    </row>
    <row r="191" spans="1:15" ht="45" x14ac:dyDescent="0.25">
      <c r="A191">
        <v>8536</v>
      </c>
      <c r="B191" s="8">
        <v>13</v>
      </c>
      <c r="C191" s="21" t="s">
        <v>176</v>
      </c>
      <c r="D191">
        <v>2016</v>
      </c>
      <c r="E191" s="8">
        <v>54</v>
      </c>
      <c r="F191" s="9">
        <v>32.97</v>
      </c>
      <c r="G191" s="8">
        <v>6</v>
      </c>
      <c r="H191" s="11">
        <v>6.6618000000000004</v>
      </c>
      <c r="I191" s="9">
        <v>-4.7853000000000003</v>
      </c>
      <c r="J191" s="11" t="s">
        <v>1</v>
      </c>
      <c r="K191" s="8">
        <v>3.9</v>
      </c>
      <c r="L191" s="11"/>
      <c r="M191" s="9">
        <v>97</v>
      </c>
      <c r="N191" s="12" t="s">
        <v>15</v>
      </c>
      <c r="O191" s="13" t="s">
        <v>175</v>
      </c>
    </row>
    <row r="192" spans="1:15" ht="30" x14ac:dyDescent="0.25">
      <c r="A192">
        <v>8537</v>
      </c>
      <c r="B192" s="24">
        <v>13</v>
      </c>
      <c r="C192" s="29" t="s">
        <v>176</v>
      </c>
      <c r="D192">
        <v>2016</v>
      </c>
      <c r="E192" s="24">
        <v>41</v>
      </c>
      <c r="F192" s="25">
        <v>33.81</v>
      </c>
      <c r="G192" s="24">
        <v>8</v>
      </c>
      <c r="H192" s="26">
        <v>35.222099999999998</v>
      </c>
      <c r="I192" s="25">
        <v>9.3696000000000002</v>
      </c>
      <c r="J192" s="26" t="s">
        <v>1</v>
      </c>
      <c r="K192" s="24">
        <v>3.2</v>
      </c>
      <c r="L192" s="26"/>
      <c r="M192" s="25">
        <v>113</v>
      </c>
      <c r="N192" s="27" t="s">
        <v>2</v>
      </c>
      <c r="O192" s="28" t="s">
        <v>199</v>
      </c>
    </row>
    <row r="193" spans="1:15" ht="30" x14ac:dyDescent="0.25">
      <c r="A193">
        <v>8538</v>
      </c>
      <c r="B193" s="24">
        <v>13</v>
      </c>
      <c r="C193" s="29" t="s">
        <v>176</v>
      </c>
      <c r="D193">
        <v>2016</v>
      </c>
      <c r="E193" s="24">
        <v>10</v>
      </c>
      <c r="F193" s="25">
        <v>44.73</v>
      </c>
      <c r="G193" s="24">
        <v>14</v>
      </c>
      <c r="H193" s="26">
        <v>21.683800000000002</v>
      </c>
      <c r="I193" s="25">
        <v>34.438800000000001</v>
      </c>
      <c r="J193" s="26" t="s">
        <v>1</v>
      </c>
      <c r="K193" s="24">
        <v>3.5</v>
      </c>
      <c r="L193" s="26">
        <v>2.9</v>
      </c>
      <c r="M193" s="25">
        <v>68</v>
      </c>
      <c r="N193" s="27" t="s">
        <v>117</v>
      </c>
      <c r="O193" s="28" t="s">
        <v>200</v>
      </c>
    </row>
    <row r="194" spans="1:15" ht="75" x14ac:dyDescent="0.25">
      <c r="A194">
        <v>8539</v>
      </c>
      <c r="B194" s="24">
        <v>14</v>
      </c>
      <c r="C194" s="29" t="s">
        <v>176</v>
      </c>
      <c r="D194">
        <v>2016</v>
      </c>
      <c r="E194" s="24">
        <v>45</v>
      </c>
      <c r="F194" s="25">
        <v>20.49</v>
      </c>
      <c r="G194" s="24">
        <v>3</v>
      </c>
      <c r="H194" s="26">
        <v>33.163600000000002</v>
      </c>
      <c r="I194" s="25">
        <v>-8.7437000000000005</v>
      </c>
      <c r="J194" s="26" t="s">
        <v>1</v>
      </c>
      <c r="K194" s="24">
        <v>4.0999999999999996</v>
      </c>
      <c r="L194" s="26">
        <v>3.7</v>
      </c>
      <c r="M194" s="25">
        <v>93</v>
      </c>
      <c r="N194" s="27" t="s">
        <v>28</v>
      </c>
      <c r="O194" s="28" t="s">
        <v>201</v>
      </c>
    </row>
    <row r="195" spans="1:15" ht="105" x14ac:dyDescent="0.25">
      <c r="A195">
        <v>8540</v>
      </c>
      <c r="B195" s="24">
        <v>14</v>
      </c>
      <c r="C195" s="29" t="s">
        <v>176</v>
      </c>
      <c r="D195">
        <v>2016</v>
      </c>
      <c r="E195" s="24">
        <v>27</v>
      </c>
      <c r="F195" s="25">
        <v>14.89</v>
      </c>
      <c r="G195" s="24">
        <v>7</v>
      </c>
      <c r="H195" s="26">
        <v>28.644400000000001</v>
      </c>
      <c r="I195" s="25">
        <v>33.444299999999998</v>
      </c>
      <c r="J195" s="26" t="s">
        <v>1</v>
      </c>
      <c r="K195" s="24">
        <v>3.9</v>
      </c>
      <c r="L195" s="26"/>
      <c r="M195" s="25">
        <v>15</v>
      </c>
      <c r="N195" s="27" t="s">
        <v>72</v>
      </c>
      <c r="O195" s="28" t="s">
        <v>202</v>
      </c>
    </row>
    <row r="196" spans="1:15" ht="45" x14ac:dyDescent="0.25">
      <c r="A196">
        <v>8541</v>
      </c>
      <c r="B196" s="8">
        <v>14</v>
      </c>
      <c r="C196" s="21" t="s">
        <v>176</v>
      </c>
      <c r="D196">
        <v>2016</v>
      </c>
      <c r="E196" s="8">
        <v>13</v>
      </c>
      <c r="F196" s="9">
        <v>30.35</v>
      </c>
      <c r="G196" s="8">
        <v>15</v>
      </c>
      <c r="H196" s="11">
        <v>22.78</v>
      </c>
      <c r="I196" s="9">
        <v>-4.0206</v>
      </c>
      <c r="J196" s="11" t="s">
        <v>1</v>
      </c>
      <c r="K196" s="8">
        <v>4.0999999999999996</v>
      </c>
      <c r="L196" s="11">
        <v>3.7</v>
      </c>
      <c r="M196" s="9">
        <v>95</v>
      </c>
      <c r="N196" s="12" t="s">
        <v>15</v>
      </c>
      <c r="O196" s="13" t="s">
        <v>203</v>
      </c>
    </row>
    <row r="197" spans="1:15" ht="45" x14ac:dyDescent="0.25">
      <c r="A197">
        <v>8542</v>
      </c>
      <c r="B197" s="24">
        <v>15</v>
      </c>
      <c r="C197" s="29" t="s">
        <v>176</v>
      </c>
      <c r="D197">
        <v>2016</v>
      </c>
      <c r="E197" s="24">
        <v>45</v>
      </c>
      <c r="F197" s="25">
        <v>20.77</v>
      </c>
      <c r="G197" s="24">
        <v>1</v>
      </c>
      <c r="H197" s="26">
        <v>29.395700000000001</v>
      </c>
      <c r="I197" s="25">
        <v>17.978999999999999</v>
      </c>
      <c r="J197" s="26" t="s">
        <v>1</v>
      </c>
      <c r="K197" s="24">
        <v>4</v>
      </c>
      <c r="L197" s="26"/>
      <c r="M197" s="25">
        <v>48</v>
      </c>
      <c r="N197" s="27" t="s">
        <v>204</v>
      </c>
      <c r="O197" s="28" t="s">
        <v>205</v>
      </c>
    </row>
    <row r="198" spans="1:15" ht="45" x14ac:dyDescent="0.25">
      <c r="A198">
        <v>8543</v>
      </c>
      <c r="B198" s="8">
        <v>15</v>
      </c>
      <c r="C198" s="21" t="s">
        <v>176</v>
      </c>
      <c r="D198">
        <v>2016</v>
      </c>
      <c r="E198" s="8">
        <v>54</v>
      </c>
      <c r="F198" s="9">
        <v>53.23</v>
      </c>
      <c r="G198" s="8">
        <v>11</v>
      </c>
      <c r="H198" s="11">
        <v>15.1081</v>
      </c>
      <c r="I198" s="9">
        <v>-6.7328999999999999</v>
      </c>
      <c r="J198" s="11" t="s">
        <v>1</v>
      </c>
      <c r="K198" s="8"/>
      <c r="L198" s="11">
        <v>2.9</v>
      </c>
      <c r="M198" s="9">
        <v>60</v>
      </c>
      <c r="N198" s="12" t="s">
        <v>15</v>
      </c>
      <c r="O198" s="13" t="s">
        <v>206</v>
      </c>
    </row>
    <row r="199" spans="1:15" ht="30" x14ac:dyDescent="0.25">
      <c r="A199">
        <v>8544</v>
      </c>
      <c r="B199" s="24">
        <v>15</v>
      </c>
      <c r="C199" s="29" t="s">
        <v>176</v>
      </c>
      <c r="D199">
        <v>2016</v>
      </c>
      <c r="E199" s="24">
        <v>24</v>
      </c>
      <c r="F199" s="25">
        <v>16.02</v>
      </c>
      <c r="G199" s="24">
        <v>12</v>
      </c>
      <c r="H199" s="26">
        <v>35.718699999999998</v>
      </c>
      <c r="I199" s="25">
        <v>9.3224</v>
      </c>
      <c r="J199" s="26" t="s">
        <v>1</v>
      </c>
      <c r="K199" s="24">
        <v>4.2</v>
      </c>
      <c r="L199" s="26"/>
      <c r="M199" s="25">
        <v>56</v>
      </c>
      <c r="N199" s="27" t="s">
        <v>2</v>
      </c>
      <c r="O199" s="28" t="s">
        <v>159</v>
      </c>
    </row>
    <row r="200" spans="1:15" ht="45" x14ac:dyDescent="0.25">
      <c r="A200">
        <v>8545</v>
      </c>
      <c r="B200" s="8">
        <v>15</v>
      </c>
      <c r="C200" s="21" t="s">
        <v>176</v>
      </c>
      <c r="D200">
        <v>2016</v>
      </c>
      <c r="E200" s="8">
        <v>3</v>
      </c>
      <c r="F200" s="9">
        <v>35.270000000000003</v>
      </c>
      <c r="G200" s="8">
        <v>15</v>
      </c>
      <c r="H200" s="11">
        <v>22.854299999999999</v>
      </c>
      <c r="I200" s="9">
        <v>-12.011200000000001</v>
      </c>
      <c r="J200" s="11" t="s">
        <v>1</v>
      </c>
      <c r="K200" s="8">
        <v>3.5</v>
      </c>
      <c r="L200" s="11">
        <v>3.7</v>
      </c>
      <c r="M200" s="9">
        <v>81</v>
      </c>
      <c r="N200" s="12" t="s">
        <v>15</v>
      </c>
      <c r="O200" s="13" t="s">
        <v>207</v>
      </c>
    </row>
    <row r="201" spans="1:15" ht="90" x14ac:dyDescent="0.25">
      <c r="A201">
        <v>8546</v>
      </c>
      <c r="B201" s="24">
        <v>17</v>
      </c>
      <c r="C201" s="29" t="s">
        <v>176</v>
      </c>
      <c r="D201">
        <v>2016</v>
      </c>
      <c r="E201" s="24">
        <v>51</v>
      </c>
      <c r="F201" s="25">
        <v>56.5</v>
      </c>
      <c r="G201" s="24">
        <v>0</v>
      </c>
      <c r="H201" s="26">
        <v>2.6920000000000002</v>
      </c>
      <c r="I201" s="25">
        <v>-9.9509000000000007</v>
      </c>
      <c r="J201" s="26" t="s">
        <v>1</v>
      </c>
      <c r="K201" s="24">
        <v>3.4</v>
      </c>
      <c r="L201" s="26">
        <v>2.5</v>
      </c>
      <c r="M201" s="25">
        <v>148</v>
      </c>
      <c r="N201" s="27" t="s">
        <v>154</v>
      </c>
      <c r="O201" s="28" t="s">
        <v>208</v>
      </c>
    </row>
    <row r="202" spans="1:15" ht="60" x14ac:dyDescent="0.25">
      <c r="A202">
        <v>8547</v>
      </c>
      <c r="B202" s="24">
        <v>17</v>
      </c>
      <c r="C202" s="29" t="s">
        <v>176</v>
      </c>
      <c r="D202">
        <v>2016</v>
      </c>
      <c r="E202" s="24">
        <v>1</v>
      </c>
      <c r="F202" s="25">
        <v>45.33</v>
      </c>
      <c r="G202" s="24">
        <v>13</v>
      </c>
      <c r="H202" s="26">
        <v>-29.253599999999999</v>
      </c>
      <c r="I202" s="25">
        <v>26.4956</v>
      </c>
      <c r="J202" s="26" t="s">
        <v>1</v>
      </c>
      <c r="K202" s="24">
        <v>4.3</v>
      </c>
      <c r="L202" s="26"/>
      <c r="M202" s="25">
        <v>30</v>
      </c>
      <c r="N202" s="27" t="s">
        <v>6</v>
      </c>
      <c r="O202" s="28" t="s">
        <v>69</v>
      </c>
    </row>
    <row r="203" spans="1:15" ht="90" x14ac:dyDescent="0.25">
      <c r="A203">
        <v>8548</v>
      </c>
      <c r="B203" s="24">
        <v>17</v>
      </c>
      <c r="C203" s="29" t="s">
        <v>176</v>
      </c>
      <c r="D203">
        <v>2016</v>
      </c>
      <c r="E203" s="24">
        <v>24</v>
      </c>
      <c r="F203" s="25">
        <v>45.38</v>
      </c>
      <c r="G203" s="24">
        <v>14</v>
      </c>
      <c r="H203" s="26">
        <v>-29.292899999999999</v>
      </c>
      <c r="I203" s="25">
        <v>26.648599999999998</v>
      </c>
      <c r="J203" s="26" t="s">
        <v>1</v>
      </c>
      <c r="K203" s="24">
        <v>4.4000000000000004</v>
      </c>
      <c r="L203" s="26"/>
      <c r="M203" s="25">
        <v>31</v>
      </c>
      <c r="N203" s="27" t="s">
        <v>6</v>
      </c>
      <c r="O203" s="28" t="s">
        <v>209</v>
      </c>
    </row>
    <row r="204" spans="1:15" ht="45" x14ac:dyDescent="0.25">
      <c r="A204">
        <v>8549</v>
      </c>
      <c r="B204" s="24">
        <v>17</v>
      </c>
      <c r="C204" s="29" t="s">
        <v>176</v>
      </c>
      <c r="D204">
        <v>2016</v>
      </c>
      <c r="E204" s="24">
        <v>29</v>
      </c>
      <c r="F204" s="25">
        <v>39.22</v>
      </c>
      <c r="G204" s="24">
        <v>14</v>
      </c>
      <c r="H204" s="26">
        <v>-6.7740999999999998</v>
      </c>
      <c r="I204" s="25">
        <v>33.821199999999997</v>
      </c>
      <c r="J204" s="26" t="s">
        <v>1</v>
      </c>
      <c r="K204" s="24">
        <v>3.8</v>
      </c>
      <c r="L204" s="26">
        <v>4.3</v>
      </c>
      <c r="M204" s="25">
        <v>106</v>
      </c>
      <c r="N204" s="27" t="s">
        <v>96</v>
      </c>
      <c r="O204" s="28" t="s">
        <v>210</v>
      </c>
    </row>
    <row r="205" spans="1:15" ht="45" x14ac:dyDescent="0.25">
      <c r="A205">
        <v>8550</v>
      </c>
      <c r="B205" s="8">
        <v>17</v>
      </c>
      <c r="C205" s="21" t="s">
        <v>176</v>
      </c>
      <c r="D205">
        <v>2016</v>
      </c>
      <c r="E205" s="8">
        <v>52</v>
      </c>
      <c r="F205" s="9">
        <v>23.65</v>
      </c>
      <c r="G205" s="8">
        <v>18</v>
      </c>
      <c r="H205" s="11">
        <v>5.7706</v>
      </c>
      <c r="I205" s="9">
        <v>-5.9031000000000002</v>
      </c>
      <c r="J205" s="11" t="s">
        <v>1</v>
      </c>
      <c r="K205" s="8">
        <v>4.4000000000000004</v>
      </c>
      <c r="L205" s="11"/>
      <c r="M205" s="9">
        <v>149</v>
      </c>
      <c r="N205" s="12" t="s">
        <v>15</v>
      </c>
      <c r="O205" s="13" t="s">
        <v>211</v>
      </c>
    </row>
    <row r="206" spans="1:15" ht="75" x14ac:dyDescent="0.25">
      <c r="A206">
        <v>8551</v>
      </c>
      <c r="B206" s="24">
        <v>17</v>
      </c>
      <c r="C206" s="29" t="s">
        <v>176</v>
      </c>
      <c r="D206">
        <v>2016</v>
      </c>
      <c r="E206" s="24">
        <v>9</v>
      </c>
      <c r="F206" s="25">
        <v>47.28</v>
      </c>
      <c r="G206" s="24">
        <v>22</v>
      </c>
      <c r="H206" s="26">
        <v>6.1085000000000003</v>
      </c>
      <c r="I206" s="25">
        <v>46.353900000000003</v>
      </c>
      <c r="J206" s="26" t="s">
        <v>1</v>
      </c>
      <c r="K206" s="24">
        <v>4.0999999999999996</v>
      </c>
      <c r="L206" s="26">
        <v>2.2000000000000002</v>
      </c>
      <c r="M206" s="25">
        <v>153</v>
      </c>
      <c r="N206" s="27" t="s">
        <v>57</v>
      </c>
      <c r="O206" s="28" t="s">
        <v>212</v>
      </c>
    </row>
    <row r="207" spans="1:15" ht="45" x14ac:dyDescent="0.25">
      <c r="A207">
        <v>8552</v>
      </c>
      <c r="B207" s="24">
        <v>18</v>
      </c>
      <c r="C207" s="29" t="s">
        <v>176</v>
      </c>
      <c r="D207">
        <v>2016</v>
      </c>
      <c r="E207" s="24">
        <v>7</v>
      </c>
      <c r="F207" s="25">
        <v>15.71</v>
      </c>
      <c r="G207" s="24">
        <v>4</v>
      </c>
      <c r="H207" s="26">
        <v>30.446899999999999</v>
      </c>
      <c r="I207" s="25">
        <v>-7.6958000000000002</v>
      </c>
      <c r="J207" s="26" t="s">
        <v>1</v>
      </c>
      <c r="K207" s="24">
        <v>4</v>
      </c>
      <c r="L207" s="26"/>
      <c r="M207" s="25">
        <v>93</v>
      </c>
      <c r="N207" s="27" t="s">
        <v>28</v>
      </c>
      <c r="O207" s="28" t="s">
        <v>213</v>
      </c>
    </row>
    <row r="208" spans="1:15" ht="45" x14ac:dyDescent="0.25">
      <c r="A208">
        <v>8553</v>
      </c>
      <c r="B208" s="8">
        <v>18</v>
      </c>
      <c r="C208" s="21" t="s">
        <v>176</v>
      </c>
      <c r="D208">
        <v>2016</v>
      </c>
      <c r="E208" s="8">
        <v>42</v>
      </c>
      <c r="F208" s="9">
        <v>51.65</v>
      </c>
      <c r="G208" s="8">
        <v>11</v>
      </c>
      <c r="H208" s="11">
        <v>13.037699999999999</v>
      </c>
      <c r="I208" s="9">
        <v>0.2651</v>
      </c>
      <c r="J208" s="11" t="s">
        <v>1</v>
      </c>
      <c r="K208" s="8">
        <v>4.2</v>
      </c>
      <c r="L208" s="11"/>
      <c r="M208" s="9">
        <v>168</v>
      </c>
      <c r="N208" s="12" t="s">
        <v>15</v>
      </c>
      <c r="O208" s="13" t="s">
        <v>214</v>
      </c>
    </row>
    <row r="209" spans="1:15" ht="60" x14ac:dyDescent="0.25">
      <c r="A209">
        <v>8554</v>
      </c>
      <c r="B209" s="24">
        <v>18</v>
      </c>
      <c r="C209" s="29" t="s">
        <v>176</v>
      </c>
      <c r="D209">
        <v>2016</v>
      </c>
      <c r="E209" s="24">
        <v>40</v>
      </c>
      <c r="F209" s="25">
        <v>56.54</v>
      </c>
      <c r="G209" s="24">
        <v>18</v>
      </c>
      <c r="H209" s="26">
        <v>-30.575099999999999</v>
      </c>
      <c r="I209" s="25">
        <v>27.957999999999998</v>
      </c>
      <c r="J209" s="26" t="s">
        <v>1</v>
      </c>
      <c r="K209" s="24">
        <v>4</v>
      </c>
      <c r="L209" s="26"/>
      <c r="M209" s="25">
        <v>40</v>
      </c>
      <c r="N209" s="27" t="s">
        <v>6</v>
      </c>
      <c r="O209" s="28" t="s">
        <v>215</v>
      </c>
    </row>
    <row r="210" spans="1:15" ht="60" x14ac:dyDescent="0.25">
      <c r="A210">
        <v>8555</v>
      </c>
      <c r="B210" s="24">
        <v>19</v>
      </c>
      <c r="C210" s="29" t="s">
        <v>176</v>
      </c>
      <c r="D210">
        <v>2016</v>
      </c>
      <c r="E210" s="24">
        <v>16</v>
      </c>
      <c r="F210" s="25">
        <v>53.86</v>
      </c>
      <c r="G210" s="24">
        <v>0</v>
      </c>
      <c r="H210" s="26">
        <v>33.256300000000003</v>
      </c>
      <c r="I210" s="25">
        <v>-6.2527999999999997</v>
      </c>
      <c r="J210" s="26" t="s">
        <v>1</v>
      </c>
      <c r="K210" s="24">
        <v>4.2</v>
      </c>
      <c r="L210" s="26">
        <v>2.5</v>
      </c>
      <c r="M210" s="25">
        <v>123</v>
      </c>
      <c r="N210" s="27" t="s">
        <v>28</v>
      </c>
      <c r="O210" s="28" t="s">
        <v>216</v>
      </c>
    </row>
    <row r="211" spans="1:15" ht="60" x14ac:dyDescent="0.25">
      <c r="A211">
        <v>8556</v>
      </c>
      <c r="B211" s="24">
        <v>19</v>
      </c>
      <c r="C211" s="29" t="s">
        <v>176</v>
      </c>
      <c r="D211">
        <v>2016</v>
      </c>
      <c r="E211" s="24">
        <v>41</v>
      </c>
      <c r="F211" s="25">
        <v>7.0000000000000007E-2</v>
      </c>
      <c r="G211" s="24">
        <v>11</v>
      </c>
      <c r="H211" s="26">
        <v>-27.4192</v>
      </c>
      <c r="I211" s="25">
        <v>23.012899999999998</v>
      </c>
      <c r="J211" s="26" t="s">
        <v>1</v>
      </c>
      <c r="K211" s="24"/>
      <c r="L211" s="26"/>
      <c r="M211" s="25">
        <v>34</v>
      </c>
      <c r="N211" s="27" t="s">
        <v>6</v>
      </c>
      <c r="O211" s="28" t="s">
        <v>217</v>
      </c>
    </row>
    <row r="212" spans="1:15" ht="60" x14ac:dyDescent="0.25">
      <c r="A212">
        <v>8557</v>
      </c>
      <c r="B212" s="24">
        <v>19</v>
      </c>
      <c r="C212" s="29" t="s">
        <v>176</v>
      </c>
      <c r="D212">
        <v>2016</v>
      </c>
      <c r="E212" s="24">
        <v>16</v>
      </c>
      <c r="F212" s="25">
        <v>59.72</v>
      </c>
      <c r="G212" s="24">
        <v>12</v>
      </c>
      <c r="H212" s="26">
        <v>-28.854900000000001</v>
      </c>
      <c r="I212" s="25">
        <v>25.438600000000001</v>
      </c>
      <c r="J212" s="26" t="s">
        <v>1</v>
      </c>
      <c r="K212" s="24">
        <v>4.5999999999999996</v>
      </c>
      <c r="L212" s="26"/>
      <c r="M212" s="25">
        <v>124</v>
      </c>
      <c r="N212" s="27" t="s">
        <v>6</v>
      </c>
      <c r="O212" s="28" t="s">
        <v>68</v>
      </c>
    </row>
    <row r="213" spans="1:15" ht="60" x14ac:dyDescent="0.25">
      <c r="A213">
        <v>8558</v>
      </c>
      <c r="B213" s="24">
        <v>19</v>
      </c>
      <c r="C213" s="29" t="s">
        <v>176</v>
      </c>
      <c r="D213">
        <v>2016</v>
      </c>
      <c r="E213" s="24">
        <v>28</v>
      </c>
      <c r="F213" s="25">
        <v>13.41</v>
      </c>
      <c r="G213" s="24">
        <v>15</v>
      </c>
      <c r="H213" s="26">
        <v>-28.623000000000001</v>
      </c>
      <c r="I213" s="25">
        <v>25.219200000000001</v>
      </c>
      <c r="J213" s="26" t="s">
        <v>1</v>
      </c>
      <c r="K213" s="24">
        <v>3.5</v>
      </c>
      <c r="L213" s="26"/>
      <c r="M213" s="25">
        <v>74</v>
      </c>
      <c r="N213" s="27" t="s">
        <v>6</v>
      </c>
      <c r="O213" s="28" t="s">
        <v>68</v>
      </c>
    </row>
    <row r="214" spans="1:15" ht="60" x14ac:dyDescent="0.25">
      <c r="A214">
        <v>8559</v>
      </c>
      <c r="B214" s="24">
        <v>20</v>
      </c>
      <c r="C214" s="29" t="s">
        <v>176</v>
      </c>
      <c r="D214">
        <v>2016</v>
      </c>
      <c r="E214" s="24">
        <v>54</v>
      </c>
      <c r="F214" s="25">
        <v>30.25</v>
      </c>
      <c r="G214" s="24">
        <v>16</v>
      </c>
      <c r="H214" s="26">
        <v>-29.683499999999999</v>
      </c>
      <c r="I214" s="25">
        <v>26.2562</v>
      </c>
      <c r="J214" s="26" t="s">
        <v>1</v>
      </c>
      <c r="K214" s="24">
        <v>4.0999999999999996</v>
      </c>
      <c r="L214" s="26"/>
      <c r="M214" s="25">
        <v>47</v>
      </c>
      <c r="N214" s="27" t="s">
        <v>6</v>
      </c>
      <c r="O214" s="28" t="s">
        <v>113</v>
      </c>
    </row>
    <row r="215" spans="1:15" ht="75" x14ac:dyDescent="0.25">
      <c r="A215">
        <v>8560</v>
      </c>
      <c r="B215" s="14">
        <v>20</v>
      </c>
      <c r="C215" s="30" t="s">
        <v>176</v>
      </c>
      <c r="D215">
        <v>2016</v>
      </c>
      <c r="E215" s="14">
        <v>15</v>
      </c>
      <c r="F215" s="15">
        <v>10.23</v>
      </c>
      <c r="G215" s="14">
        <v>20</v>
      </c>
      <c r="H215" s="17">
        <v>10.335800000000001</v>
      </c>
      <c r="I215" s="15">
        <v>-2.5144000000000002</v>
      </c>
      <c r="J215" s="17" t="s">
        <v>1</v>
      </c>
      <c r="K215" s="14">
        <v>3.7</v>
      </c>
      <c r="L215" s="17">
        <v>3</v>
      </c>
      <c r="M215" s="15">
        <v>134</v>
      </c>
      <c r="N215" s="18" t="s">
        <v>15</v>
      </c>
      <c r="O215" s="19" t="s">
        <v>218</v>
      </c>
    </row>
    <row r="216" spans="1:15" ht="60" x14ac:dyDescent="0.25">
      <c r="A216">
        <v>8561</v>
      </c>
      <c r="B216" s="24">
        <v>21</v>
      </c>
      <c r="C216" s="29" t="s">
        <v>176</v>
      </c>
      <c r="D216">
        <v>2016</v>
      </c>
      <c r="E216" s="24">
        <v>50</v>
      </c>
      <c r="F216" s="25">
        <v>6.15</v>
      </c>
      <c r="G216" s="24">
        <v>16</v>
      </c>
      <c r="H216" s="26">
        <v>29.273199999999999</v>
      </c>
      <c r="I216" s="25">
        <v>4.1235999999999997</v>
      </c>
      <c r="J216" s="26" t="s">
        <v>1</v>
      </c>
      <c r="K216" s="24">
        <v>4.0999999999999996</v>
      </c>
      <c r="L216" s="26">
        <v>2.8</v>
      </c>
      <c r="M216" s="25">
        <v>113</v>
      </c>
      <c r="N216" s="27" t="s">
        <v>10</v>
      </c>
      <c r="O216" s="28" t="s">
        <v>219</v>
      </c>
    </row>
    <row r="217" spans="1:15" ht="60" x14ac:dyDescent="0.25">
      <c r="A217">
        <v>8562</v>
      </c>
      <c r="B217" s="24">
        <v>22</v>
      </c>
      <c r="C217" s="29" t="s">
        <v>176</v>
      </c>
      <c r="D217">
        <v>2016</v>
      </c>
      <c r="E217" s="24">
        <v>50</v>
      </c>
      <c r="F217" s="25">
        <v>4.3</v>
      </c>
      <c r="G217" s="24">
        <v>2</v>
      </c>
      <c r="H217" s="26">
        <v>-2.3368000000000002</v>
      </c>
      <c r="I217" s="25">
        <v>39.030999999999999</v>
      </c>
      <c r="J217" s="26" t="s">
        <v>1</v>
      </c>
      <c r="K217" s="24">
        <v>3.3</v>
      </c>
      <c r="L217" s="26"/>
      <c r="M217" s="25">
        <v>55</v>
      </c>
      <c r="N217" s="27" t="s">
        <v>13</v>
      </c>
      <c r="O217" s="28" t="s">
        <v>220</v>
      </c>
    </row>
    <row r="218" spans="1:15" ht="45" x14ac:dyDescent="0.25">
      <c r="A218">
        <v>8563</v>
      </c>
      <c r="B218" s="8">
        <v>23</v>
      </c>
      <c r="C218" s="21" t="s">
        <v>176</v>
      </c>
      <c r="D218">
        <v>2016</v>
      </c>
      <c r="E218" s="8">
        <v>9</v>
      </c>
      <c r="F218" s="9">
        <v>54.47</v>
      </c>
      <c r="G218" s="8">
        <v>16</v>
      </c>
      <c r="H218" s="11">
        <v>5.3804999999999996</v>
      </c>
      <c r="I218" s="9">
        <v>-4.2629999999999999</v>
      </c>
      <c r="J218" s="11" t="s">
        <v>1</v>
      </c>
      <c r="K218" s="8">
        <v>4.4000000000000004</v>
      </c>
      <c r="L218" s="11"/>
      <c r="M218" s="9">
        <v>64</v>
      </c>
      <c r="N218" s="12" t="s">
        <v>15</v>
      </c>
      <c r="O218" s="13" t="s">
        <v>221</v>
      </c>
    </row>
    <row r="219" spans="1:15" ht="60" x14ac:dyDescent="0.25">
      <c r="A219">
        <v>8564</v>
      </c>
      <c r="B219" s="24">
        <v>24</v>
      </c>
      <c r="C219" s="29" t="s">
        <v>176</v>
      </c>
      <c r="D219">
        <v>2016</v>
      </c>
      <c r="E219" s="24">
        <v>29</v>
      </c>
      <c r="F219" s="25">
        <v>43.2</v>
      </c>
      <c r="G219" s="24">
        <v>15</v>
      </c>
      <c r="H219" s="26">
        <v>-27.289200000000001</v>
      </c>
      <c r="I219" s="25">
        <v>28.288</v>
      </c>
      <c r="J219" s="26" t="s">
        <v>1</v>
      </c>
      <c r="K219" s="24"/>
      <c r="L219" s="26">
        <v>2.4</v>
      </c>
      <c r="M219" s="25">
        <v>150</v>
      </c>
      <c r="N219" s="27" t="s">
        <v>6</v>
      </c>
      <c r="O219" s="28" t="s">
        <v>193</v>
      </c>
    </row>
    <row r="220" spans="1:15" ht="45" x14ac:dyDescent="0.25">
      <c r="A220">
        <v>8565</v>
      </c>
      <c r="B220" s="8">
        <v>25</v>
      </c>
      <c r="C220" s="21" t="s">
        <v>176</v>
      </c>
      <c r="D220">
        <v>2016</v>
      </c>
      <c r="E220" s="8">
        <v>35</v>
      </c>
      <c r="F220" s="9">
        <v>32.14</v>
      </c>
      <c r="G220" s="8">
        <v>5</v>
      </c>
      <c r="H220" s="11">
        <v>7.0639000000000003</v>
      </c>
      <c r="I220" s="9">
        <v>-6.3140999999999998</v>
      </c>
      <c r="J220" s="11" t="s">
        <v>1</v>
      </c>
      <c r="K220" s="8">
        <v>4.3</v>
      </c>
      <c r="L220" s="11"/>
      <c r="M220" s="9">
        <v>14</v>
      </c>
      <c r="N220" s="12" t="s">
        <v>15</v>
      </c>
      <c r="O220" s="13" t="s">
        <v>145</v>
      </c>
    </row>
    <row r="221" spans="1:15" ht="105" x14ac:dyDescent="0.25">
      <c r="A221">
        <v>8566</v>
      </c>
      <c r="B221" s="24">
        <v>25</v>
      </c>
      <c r="C221" s="29" t="s">
        <v>176</v>
      </c>
      <c r="D221">
        <v>2016</v>
      </c>
      <c r="E221" s="24">
        <v>44</v>
      </c>
      <c r="F221" s="25">
        <v>23.55</v>
      </c>
      <c r="G221" s="24">
        <v>15</v>
      </c>
      <c r="H221" s="26">
        <v>-26.348700000000001</v>
      </c>
      <c r="I221" s="25">
        <v>27.286200000000001</v>
      </c>
      <c r="J221" s="26" t="s">
        <v>1</v>
      </c>
      <c r="K221" s="24">
        <v>3.7</v>
      </c>
      <c r="L221" s="26">
        <v>3.6</v>
      </c>
      <c r="M221" s="25">
        <v>128</v>
      </c>
      <c r="N221" s="27" t="s">
        <v>6</v>
      </c>
      <c r="O221" s="28" t="s">
        <v>222</v>
      </c>
    </row>
    <row r="222" spans="1:15" ht="60" x14ac:dyDescent="0.25">
      <c r="A222">
        <v>8567</v>
      </c>
      <c r="B222" s="24">
        <v>25</v>
      </c>
      <c r="C222" s="29" t="s">
        <v>176</v>
      </c>
      <c r="D222">
        <v>2016</v>
      </c>
      <c r="E222" s="24">
        <v>16</v>
      </c>
      <c r="F222" s="25">
        <v>51.32</v>
      </c>
      <c r="G222" s="24">
        <v>20</v>
      </c>
      <c r="H222" s="26">
        <v>-24.782599999999999</v>
      </c>
      <c r="I222" s="25">
        <v>30.965699999999998</v>
      </c>
      <c r="J222" s="26" t="s">
        <v>1</v>
      </c>
      <c r="K222" s="24">
        <v>3.6</v>
      </c>
      <c r="L222" s="26">
        <v>3.7</v>
      </c>
      <c r="M222" s="25">
        <v>164</v>
      </c>
      <c r="N222" s="27" t="s">
        <v>6</v>
      </c>
      <c r="O222" s="28" t="s">
        <v>89</v>
      </c>
    </row>
    <row r="223" spans="1:15" ht="60" x14ac:dyDescent="0.25">
      <c r="A223">
        <v>8568</v>
      </c>
      <c r="B223" s="24">
        <v>26</v>
      </c>
      <c r="C223" s="29" t="s">
        <v>176</v>
      </c>
      <c r="D223">
        <v>2016</v>
      </c>
      <c r="E223" s="24">
        <v>55</v>
      </c>
      <c r="F223" s="25">
        <v>5.18</v>
      </c>
      <c r="G223" s="24">
        <v>10</v>
      </c>
      <c r="H223" s="26">
        <v>-27.935600000000001</v>
      </c>
      <c r="I223" s="25">
        <v>28.038699999999999</v>
      </c>
      <c r="J223" s="26" t="s">
        <v>1</v>
      </c>
      <c r="K223" s="24">
        <v>4.3</v>
      </c>
      <c r="L223" s="26">
        <v>2.8</v>
      </c>
      <c r="M223" s="25">
        <v>148</v>
      </c>
      <c r="N223" s="27" t="s">
        <v>6</v>
      </c>
      <c r="O223" s="28" t="s">
        <v>223</v>
      </c>
    </row>
    <row r="224" spans="1:15" ht="45" x14ac:dyDescent="0.25">
      <c r="A224">
        <v>8569</v>
      </c>
      <c r="B224" s="8">
        <v>26</v>
      </c>
      <c r="C224" s="21" t="s">
        <v>176</v>
      </c>
      <c r="D224">
        <v>2016</v>
      </c>
      <c r="E224" s="8">
        <v>57</v>
      </c>
      <c r="F224" s="9">
        <v>10.45</v>
      </c>
      <c r="G224" s="8">
        <v>10</v>
      </c>
      <c r="H224" s="11">
        <v>5.9131999999999998</v>
      </c>
      <c r="I224" s="9">
        <v>-6.0187999999999997</v>
      </c>
      <c r="J224" s="11" t="s">
        <v>1</v>
      </c>
      <c r="K224" s="8">
        <v>4.2</v>
      </c>
      <c r="L224" s="11"/>
      <c r="M224" s="9">
        <v>171</v>
      </c>
      <c r="N224" s="12" t="s">
        <v>15</v>
      </c>
      <c r="O224" s="13" t="s">
        <v>141</v>
      </c>
    </row>
    <row r="225" spans="1:15" ht="60" x14ac:dyDescent="0.25">
      <c r="A225">
        <v>8570</v>
      </c>
      <c r="B225" s="24">
        <v>26</v>
      </c>
      <c r="C225" s="29" t="s">
        <v>176</v>
      </c>
      <c r="D225">
        <v>2016</v>
      </c>
      <c r="E225" s="24">
        <v>21</v>
      </c>
      <c r="F225" s="25">
        <v>20.52</v>
      </c>
      <c r="G225" s="24">
        <v>14</v>
      </c>
      <c r="H225" s="26">
        <v>-29.346</v>
      </c>
      <c r="I225" s="25">
        <v>29.625699999999998</v>
      </c>
      <c r="J225" s="26" t="s">
        <v>1</v>
      </c>
      <c r="K225" s="24"/>
      <c r="L225" s="26"/>
      <c r="M225" s="25">
        <v>6</v>
      </c>
      <c r="N225" s="27" t="s">
        <v>6</v>
      </c>
      <c r="O225" s="28" t="s">
        <v>224</v>
      </c>
    </row>
    <row r="226" spans="1:15" ht="60" x14ac:dyDescent="0.25">
      <c r="A226">
        <v>8571</v>
      </c>
      <c r="B226" s="24">
        <v>26</v>
      </c>
      <c r="C226" s="29" t="s">
        <v>176</v>
      </c>
      <c r="D226">
        <v>2016</v>
      </c>
      <c r="E226" s="24">
        <v>49</v>
      </c>
      <c r="F226" s="25">
        <v>1.54</v>
      </c>
      <c r="G226" s="24">
        <v>18</v>
      </c>
      <c r="H226" s="26">
        <v>-25.4786</v>
      </c>
      <c r="I226" s="25">
        <v>26.2851</v>
      </c>
      <c r="J226" s="26" t="s">
        <v>1</v>
      </c>
      <c r="K226" s="24">
        <v>4.2</v>
      </c>
      <c r="L226" s="26"/>
      <c r="M226" s="25">
        <v>103</v>
      </c>
      <c r="N226" s="27" t="s">
        <v>6</v>
      </c>
      <c r="O226" s="28" t="s">
        <v>225</v>
      </c>
    </row>
    <row r="227" spans="1:15" ht="60" x14ac:dyDescent="0.25">
      <c r="A227">
        <v>8572</v>
      </c>
      <c r="B227" s="24">
        <v>26</v>
      </c>
      <c r="C227" s="29" t="s">
        <v>176</v>
      </c>
      <c r="D227">
        <v>2016</v>
      </c>
      <c r="E227" s="24">
        <v>28</v>
      </c>
      <c r="F227" s="25">
        <v>3.26</v>
      </c>
      <c r="G227" s="24">
        <v>19</v>
      </c>
      <c r="H227" s="26">
        <v>-1.2329000000000001</v>
      </c>
      <c r="I227" s="25">
        <v>37.249000000000002</v>
      </c>
      <c r="J227" s="26" t="s">
        <v>1</v>
      </c>
      <c r="K227" s="24">
        <v>4.0999999999999996</v>
      </c>
      <c r="L227" s="26"/>
      <c r="M227" s="25">
        <v>168</v>
      </c>
      <c r="N227" s="27" t="s">
        <v>13</v>
      </c>
      <c r="O227" s="28" t="s">
        <v>182</v>
      </c>
    </row>
    <row r="228" spans="1:15" ht="60" x14ac:dyDescent="0.25">
      <c r="A228">
        <v>8573</v>
      </c>
      <c r="B228" s="24">
        <v>27</v>
      </c>
      <c r="C228" s="29" t="s">
        <v>176</v>
      </c>
      <c r="D228">
        <v>2016</v>
      </c>
      <c r="E228" s="24">
        <v>5</v>
      </c>
      <c r="F228" s="25">
        <v>38.58</v>
      </c>
      <c r="G228" s="24">
        <v>14</v>
      </c>
      <c r="H228" s="26">
        <v>-28.695799999999998</v>
      </c>
      <c r="I228" s="25">
        <v>25.335999999999999</v>
      </c>
      <c r="J228" s="26" t="s">
        <v>1</v>
      </c>
      <c r="K228" s="24">
        <v>4.0999999999999996</v>
      </c>
      <c r="L228" s="26"/>
      <c r="M228" s="25">
        <v>136</v>
      </c>
      <c r="N228" s="27" t="s">
        <v>6</v>
      </c>
      <c r="O228" s="28" t="s">
        <v>68</v>
      </c>
    </row>
    <row r="229" spans="1:15" ht="60" x14ac:dyDescent="0.25">
      <c r="A229">
        <v>8574</v>
      </c>
      <c r="B229" s="24">
        <v>27</v>
      </c>
      <c r="C229" s="29" t="s">
        <v>176</v>
      </c>
      <c r="D229">
        <v>2016</v>
      </c>
      <c r="E229" s="24">
        <v>14</v>
      </c>
      <c r="F229" s="25">
        <v>20.64</v>
      </c>
      <c r="G229" s="24">
        <v>15</v>
      </c>
      <c r="H229" s="26">
        <v>-29.2408</v>
      </c>
      <c r="I229" s="25">
        <v>25.6601</v>
      </c>
      <c r="J229" s="26" t="s">
        <v>1</v>
      </c>
      <c r="K229" s="24">
        <v>4.0999999999999996</v>
      </c>
      <c r="L229" s="26"/>
      <c r="M229" s="25">
        <v>64</v>
      </c>
      <c r="N229" s="27" t="s">
        <v>6</v>
      </c>
      <c r="O229" s="28" t="s">
        <v>113</v>
      </c>
    </row>
    <row r="230" spans="1:15" ht="45" x14ac:dyDescent="0.25">
      <c r="A230">
        <v>8575</v>
      </c>
      <c r="B230" s="24">
        <v>27</v>
      </c>
      <c r="C230" s="29" t="s">
        <v>176</v>
      </c>
      <c r="D230">
        <v>2016</v>
      </c>
      <c r="E230" s="24">
        <v>38</v>
      </c>
      <c r="F230" s="25">
        <v>32.69</v>
      </c>
      <c r="G230" s="24">
        <v>19</v>
      </c>
      <c r="H230" s="26">
        <v>0.219</v>
      </c>
      <c r="I230" s="25">
        <v>37.390300000000003</v>
      </c>
      <c r="J230" s="26" t="s">
        <v>1</v>
      </c>
      <c r="K230" s="24">
        <v>4.5</v>
      </c>
      <c r="L230" s="26"/>
      <c r="M230" s="25">
        <v>93</v>
      </c>
      <c r="N230" s="27" t="s">
        <v>13</v>
      </c>
      <c r="O230" s="28" t="s">
        <v>226</v>
      </c>
    </row>
    <row r="231" spans="1:15" ht="45" x14ac:dyDescent="0.25">
      <c r="A231">
        <v>8576</v>
      </c>
      <c r="B231" s="24">
        <v>27</v>
      </c>
      <c r="C231" s="29" t="s">
        <v>176</v>
      </c>
      <c r="D231">
        <v>2016</v>
      </c>
      <c r="E231" s="24">
        <v>46</v>
      </c>
      <c r="F231" s="25">
        <v>22.27</v>
      </c>
      <c r="G231" s="24">
        <v>19</v>
      </c>
      <c r="H231" s="26">
        <v>0.9264</v>
      </c>
      <c r="I231" s="25">
        <v>39.129199999999997</v>
      </c>
      <c r="J231" s="26" t="s">
        <v>1</v>
      </c>
      <c r="K231" s="24">
        <v>3.9</v>
      </c>
      <c r="L231" s="26"/>
      <c r="M231" s="25">
        <v>127</v>
      </c>
      <c r="N231" s="27" t="s">
        <v>13</v>
      </c>
      <c r="O231" s="28" t="s">
        <v>227</v>
      </c>
    </row>
    <row r="232" spans="1:15" ht="60" x14ac:dyDescent="0.25">
      <c r="A232">
        <v>8577</v>
      </c>
      <c r="B232" s="24">
        <v>28</v>
      </c>
      <c r="C232" s="29" t="s">
        <v>176</v>
      </c>
      <c r="D232">
        <v>2016</v>
      </c>
      <c r="E232" s="24">
        <v>15</v>
      </c>
      <c r="F232" s="25">
        <v>2.35</v>
      </c>
      <c r="G232" s="24">
        <v>11</v>
      </c>
      <c r="H232" s="26">
        <v>-28.295100000000001</v>
      </c>
      <c r="I232" s="25">
        <v>25.457999999999998</v>
      </c>
      <c r="J232" s="26" t="s">
        <v>1</v>
      </c>
      <c r="K232" s="24"/>
      <c r="L232" s="26"/>
      <c r="M232" s="25">
        <v>119</v>
      </c>
      <c r="N232" s="27" t="s">
        <v>6</v>
      </c>
      <c r="O232" s="28" t="s">
        <v>68</v>
      </c>
    </row>
    <row r="233" spans="1:15" ht="45" x14ac:dyDescent="0.25">
      <c r="A233">
        <v>8578</v>
      </c>
      <c r="B233" s="24">
        <v>29</v>
      </c>
      <c r="C233" s="29" t="s">
        <v>176</v>
      </c>
      <c r="D233">
        <v>2016</v>
      </c>
      <c r="E233" s="24">
        <v>38</v>
      </c>
      <c r="F233" s="25">
        <v>37.18</v>
      </c>
      <c r="G233" s="24">
        <v>1</v>
      </c>
      <c r="H233" s="26">
        <v>-1.8153999999999999</v>
      </c>
      <c r="I233" s="25">
        <v>36.639299999999999</v>
      </c>
      <c r="J233" s="26" t="s">
        <v>1</v>
      </c>
      <c r="K233" s="24">
        <v>4.3</v>
      </c>
      <c r="L233" s="26"/>
      <c r="M233" s="25">
        <v>88</v>
      </c>
      <c r="N233" s="27" t="s">
        <v>13</v>
      </c>
      <c r="O233" s="28" t="s">
        <v>228</v>
      </c>
    </row>
    <row r="234" spans="1:15" ht="60" x14ac:dyDescent="0.25">
      <c r="A234">
        <v>8579</v>
      </c>
      <c r="B234" s="8">
        <v>29</v>
      </c>
      <c r="C234" s="21" t="s">
        <v>176</v>
      </c>
      <c r="D234">
        <v>2016</v>
      </c>
      <c r="E234" s="8">
        <v>59</v>
      </c>
      <c r="F234" s="9">
        <v>48.86</v>
      </c>
      <c r="G234" s="8">
        <v>5</v>
      </c>
      <c r="H234" s="11">
        <v>10.4819</v>
      </c>
      <c r="I234" s="9">
        <v>-11.323399999999999</v>
      </c>
      <c r="J234" s="11" t="s">
        <v>1</v>
      </c>
      <c r="K234" s="8">
        <v>3.8</v>
      </c>
      <c r="L234" s="11">
        <v>3.8</v>
      </c>
      <c r="M234" s="9">
        <v>57</v>
      </c>
      <c r="N234" s="12" t="s">
        <v>15</v>
      </c>
      <c r="O234" s="13" t="s">
        <v>229</v>
      </c>
    </row>
    <row r="235" spans="1:15" ht="60" x14ac:dyDescent="0.25">
      <c r="A235">
        <v>8580</v>
      </c>
      <c r="B235" s="8">
        <v>29</v>
      </c>
      <c r="C235" s="21" t="s">
        <v>176</v>
      </c>
      <c r="D235">
        <v>2016</v>
      </c>
      <c r="E235" s="8">
        <v>46</v>
      </c>
      <c r="F235" s="9">
        <v>42.25</v>
      </c>
      <c r="G235" s="8">
        <v>12</v>
      </c>
      <c r="H235" s="11">
        <v>6.7606000000000002</v>
      </c>
      <c r="I235" s="9">
        <v>-5.4020999999999999</v>
      </c>
      <c r="J235" s="11" t="s">
        <v>1</v>
      </c>
      <c r="K235" s="8">
        <v>4</v>
      </c>
      <c r="L235" s="11"/>
      <c r="M235" s="9">
        <v>27</v>
      </c>
      <c r="N235" s="12" t="s">
        <v>15</v>
      </c>
      <c r="O235" s="13" t="s">
        <v>230</v>
      </c>
    </row>
    <row r="236" spans="1:15" ht="105" x14ac:dyDescent="0.25">
      <c r="A236">
        <v>8581</v>
      </c>
      <c r="B236" s="24">
        <v>30</v>
      </c>
      <c r="C236" s="29" t="s">
        <v>176</v>
      </c>
      <c r="D236">
        <v>2016</v>
      </c>
      <c r="E236" s="24">
        <v>53</v>
      </c>
      <c r="F236" s="25">
        <v>11.16</v>
      </c>
      <c r="G236" s="24">
        <v>1</v>
      </c>
      <c r="H236" s="26">
        <v>30.8278</v>
      </c>
      <c r="I236" s="25">
        <v>26.0623</v>
      </c>
      <c r="J236" s="26" t="s">
        <v>1</v>
      </c>
      <c r="K236" s="24">
        <v>4.0999999999999996</v>
      </c>
      <c r="L236" s="26"/>
      <c r="M236" s="25">
        <v>73</v>
      </c>
      <c r="N236" s="27" t="s">
        <v>72</v>
      </c>
      <c r="O236" s="28" t="s">
        <v>231</v>
      </c>
    </row>
    <row r="237" spans="1:15" ht="60" x14ac:dyDescent="0.25">
      <c r="A237">
        <v>8582</v>
      </c>
      <c r="B237" s="24">
        <v>30</v>
      </c>
      <c r="C237" s="29" t="s">
        <v>176</v>
      </c>
      <c r="D237">
        <v>2016</v>
      </c>
      <c r="E237" s="24">
        <v>13</v>
      </c>
      <c r="F237" s="25">
        <v>11.91</v>
      </c>
      <c r="G237" s="24">
        <v>2</v>
      </c>
      <c r="H237" s="26">
        <v>34.0381</v>
      </c>
      <c r="I237" s="25">
        <v>11.9123</v>
      </c>
      <c r="J237" s="26" t="s">
        <v>1</v>
      </c>
      <c r="K237" s="24">
        <v>3.9</v>
      </c>
      <c r="L237" s="26"/>
      <c r="M237" s="25">
        <v>61</v>
      </c>
      <c r="N237" s="27" t="s">
        <v>2</v>
      </c>
      <c r="O237" s="28" t="s">
        <v>232</v>
      </c>
    </row>
    <row r="238" spans="1:15" ht="90" x14ac:dyDescent="0.25">
      <c r="A238">
        <v>8583</v>
      </c>
      <c r="B238" s="24">
        <v>30</v>
      </c>
      <c r="C238" s="29" t="s">
        <v>176</v>
      </c>
      <c r="D238">
        <v>2016</v>
      </c>
      <c r="E238" s="24">
        <v>3</v>
      </c>
      <c r="F238" s="25">
        <v>51.97</v>
      </c>
      <c r="G238" s="24">
        <v>3</v>
      </c>
      <c r="H238" s="26">
        <v>2.3231999999999999</v>
      </c>
      <c r="I238" s="25">
        <v>-17.2044</v>
      </c>
      <c r="J238" s="26" t="s">
        <v>1</v>
      </c>
      <c r="K238" s="24">
        <v>4.2</v>
      </c>
      <c r="L238" s="26">
        <v>4.2</v>
      </c>
      <c r="M238" s="25">
        <v>167</v>
      </c>
      <c r="N238" s="27" t="s">
        <v>154</v>
      </c>
      <c r="O238" s="28" t="s">
        <v>233</v>
      </c>
    </row>
    <row r="239" spans="1:15" ht="60" x14ac:dyDescent="0.25">
      <c r="A239">
        <v>8584</v>
      </c>
      <c r="B239" s="24">
        <v>30</v>
      </c>
      <c r="C239" s="29" t="s">
        <v>176</v>
      </c>
      <c r="D239">
        <v>2016</v>
      </c>
      <c r="E239" s="24">
        <v>38</v>
      </c>
      <c r="F239" s="25">
        <v>18.22</v>
      </c>
      <c r="G239" s="24">
        <v>3</v>
      </c>
      <c r="H239" s="26">
        <v>5.3301999999999996</v>
      </c>
      <c r="I239" s="25">
        <v>-5.5152999999999999</v>
      </c>
      <c r="J239" s="26" t="s">
        <v>1</v>
      </c>
      <c r="K239" s="24">
        <v>4</v>
      </c>
      <c r="L239" s="26"/>
      <c r="M239" s="25">
        <v>119</v>
      </c>
      <c r="N239" s="27" t="s">
        <v>15</v>
      </c>
      <c r="O239" s="28" t="s">
        <v>80</v>
      </c>
    </row>
    <row r="240" spans="1:15" ht="45" x14ac:dyDescent="0.25">
      <c r="A240">
        <v>8585</v>
      </c>
      <c r="B240" s="8">
        <v>30</v>
      </c>
      <c r="C240" s="21" t="s">
        <v>176</v>
      </c>
      <c r="D240">
        <v>2016</v>
      </c>
      <c r="E240" s="8">
        <v>36</v>
      </c>
      <c r="F240" s="9">
        <v>15.94</v>
      </c>
      <c r="G240" s="8">
        <v>4</v>
      </c>
      <c r="H240" s="11">
        <v>6.6553000000000004</v>
      </c>
      <c r="I240" s="9">
        <v>-4.9526000000000003</v>
      </c>
      <c r="J240" s="11" t="s">
        <v>1</v>
      </c>
      <c r="K240" s="8">
        <v>4.0999999999999996</v>
      </c>
      <c r="L240" s="11"/>
      <c r="M240" s="9">
        <v>81</v>
      </c>
      <c r="N240" s="12" t="s">
        <v>15</v>
      </c>
      <c r="O240" s="13" t="s">
        <v>234</v>
      </c>
    </row>
    <row r="241" spans="1:15" ht="90" x14ac:dyDescent="0.25">
      <c r="A241">
        <v>8586</v>
      </c>
      <c r="B241" s="24">
        <v>30</v>
      </c>
      <c r="C241" s="29" t="s">
        <v>176</v>
      </c>
      <c r="D241">
        <v>2016</v>
      </c>
      <c r="E241" s="24">
        <v>25</v>
      </c>
      <c r="F241" s="25">
        <v>40.700000000000003</v>
      </c>
      <c r="G241" s="24">
        <v>21</v>
      </c>
      <c r="H241" s="26">
        <v>-25.7987</v>
      </c>
      <c r="I241" s="25">
        <v>45.564900000000002</v>
      </c>
      <c r="J241" s="26" t="s">
        <v>1</v>
      </c>
      <c r="K241" s="24">
        <v>4.4000000000000004</v>
      </c>
      <c r="L241" s="26"/>
      <c r="M241" s="25">
        <v>147</v>
      </c>
      <c r="N241" s="27" t="s">
        <v>177</v>
      </c>
      <c r="O241" s="28" t="s">
        <v>235</v>
      </c>
    </row>
    <row r="242" spans="1:15" ht="60" x14ac:dyDescent="0.25">
      <c r="A242">
        <v>8587</v>
      </c>
      <c r="B242" s="24">
        <v>31</v>
      </c>
      <c r="C242" s="29" t="s">
        <v>176</v>
      </c>
      <c r="D242">
        <v>2016</v>
      </c>
      <c r="E242" s="24">
        <v>16</v>
      </c>
      <c r="F242" s="25">
        <v>28.46</v>
      </c>
      <c r="G242" s="24">
        <v>3</v>
      </c>
      <c r="H242" s="26">
        <v>-29.376799999999999</v>
      </c>
      <c r="I242" s="25">
        <v>25.156300000000002</v>
      </c>
      <c r="J242" s="26" t="s">
        <v>1</v>
      </c>
      <c r="K242" s="24">
        <v>4.3</v>
      </c>
      <c r="L242" s="26"/>
      <c r="M242" s="25">
        <v>129</v>
      </c>
      <c r="N242" s="27" t="s">
        <v>6</v>
      </c>
      <c r="O242" s="28" t="s">
        <v>236</v>
      </c>
    </row>
    <row r="243" spans="1:15" ht="60" x14ac:dyDescent="0.25">
      <c r="A243">
        <v>8588</v>
      </c>
      <c r="B243" s="24">
        <v>31</v>
      </c>
      <c r="C243" s="29" t="s">
        <v>176</v>
      </c>
      <c r="D243">
        <v>2016</v>
      </c>
      <c r="E243" s="24">
        <v>57</v>
      </c>
      <c r="F243" s="25">
        <v>58.48</v>
      </c>
      <c r="G243" s="24">
        <v>8</v>
      </c>
      <c r="H243" s="26">
        <v>-30.063500000000001</v>
      </c>
      <c r="I243" s="25">
        <v>26.008600000000001</v>
      </c>
      <c r="J243" s="26" t="s">
        <v>1</v>
      </c>
      <c r="K243" s="24">
        <v>3.9</v>
      </c>
      <c r="L243" s="26"/>
      <c r="M243" s="25">
        <v>66</v>
      </c>
      <c r="N243" s="27" t="s">
        <v>6</v>
      </c>
      <c r="O243" s="28" t="s">
        <v>113</v>
      </c>
    </row>
    <row r="244" spans="1:15" ht="45" x14ac:dyDescent="0.25">
      <c r="A244">
        <v>8589</v>
      </c>
      <c r="B244" s="24">
        <v>31</v>
      </c>
      <c r="C244" s="29" t="s">
        <v>176</v>
      </c>
      <c r="D244">
        <v>2016</v>
      </c>
      <c r="E244" s="24">
        <v>15</v>
      </c>
      <c r="F244" s="25">
        <v>58.3</v>
      </c>
      <c r="G244" s="24">
        <v>9</v>
      </c>
      <c r="H244" s="26">
        <v>-20.5398</v>
      </c>
      <c r="I244" s="25">
        <v>28.5016</v>
      </c>
      <c r="J244" s="26" t="s">
        <v>1</v>
      </c>
      <c r="K244" s="24">
        <v>4.3</v>
      </c>
      <c r="L244" s="26">
        <v>3.4</v>
      </c>
      <c r="M244" s="25">
        <v>109</v>
      </c>
      <c r="N244" s="27" t="s">
        <v>237</v>
      </c>
      <c r="O244" s="28" t="s">
        <v>238</v>
      </c>
    </row>
    <row r="245" spans="1:15" ht="60" x14ac:dyDescent="0.25">
      <c r="A245">
        <v>8590</v>
      </c>
      <c r="B245" s="24">
        <v>31</v>
      </c>
      <c r="C245" s="29" t="s">
        <v>176</v>
      </c>
      <c r="D245">
        <v>2016</v>
      </c>
      <c r="E245" s="24">
        <v>51</v>
      </c>
      <c r="F245" s="25">
        <v>22.35</v>
      </c>
      <c r="G245" s="24">
        <v>10</v>
      </c>
      <c r="H245" s="26">
        <v>-29.383099999999999</v>
      </c>
      <c r="I245" s="25">
        <v>25.8049</v>
      </c>
      <c r="J245" s="26" t="s">
        <v>1</v>
      </c>
      <c r="K245" s="24">
        <v>3.7</v>
      </c>
      <c r="L245" s="26"/>
      <c r="M245" s="25">
        <v>66</v>
      </c>
      <c r="N245" s="27" t="s">
        <v>6</v>
      </c>
      <c r="O245" s="28" t="s">
        <v>113</v>
      </c>
    </row>
    <row r="246" spans="1:15" ht="90" x14ac:dyDescent="0.25">
      <c r="A246">
        <v>8591</v>
      </c>
      <c r="B246" s="8">
        <v>31</v>
      </c>
      <c r="C246" s="21" t="s">
        <v>176</v>
      </c>
      <c r="D246">
        <v>2016</v>
      </c>
      <c r="E246" s="8">
        <v>50</v>
      </c>
      <c r="F246" s="9">
        <v>49.84</v>
      </c>
      <c r="G246" s="8">
        <v>16</v>
      </c>
      <c r="H246" s="11">
        <v>2.8412000000000002</v>
      </c>
      <c r="I246" s="9">
        <v>-12.3467</v>
      </c>
      <c r="J246" s="11" t="s">
        <v>1</v>
      </c>
      <c r="K246" s="8">
        <v>3.8</v>
      </c>
      <c r="L246" s="11">
        <v>3.6</v>
      </c>
      <c r="M246" s="9">
        <v>151</v>
      </c>
      <c r="N246" s="12" t="s">
        <v>154</v>
      </c>
      <c r="O246" s="13" t="s">
        <v>233</v>
      </c>
    </row>
    <row r="247" spans="1:15" ht="60" x14ac:dyDescent="0.25">
      <c r="A247">
        <v>8592</v>
      </c>
      <c r="B247" s="24">
        <v>31</v>
      </c>
      <c r="C247" s="29" t="s">
        <v>176</v>
      </c>
      <c r="D247">
        <v>2016</v>
      </c>
      <c r="E247" s="24">
        <v>27</v>
      </c>
      <c r="F247" s="25">
        <v>6.37</v>
      </c>
      <c r="G247" s="24">
        <v>23</v>
      </c>
      <c r="H247" s="26">
        <v>-27.490300000000001</v>
      </c>
      <c r="I247" s="25">
        <v>21.424199999999999</v>
      </c>
      <c r="J247" s="26" t="s">
        <v>1</v>
      </c>
      <c r="K247" s="24">
        <v>3.9</v>
      </c>
      <c r="L247" s="26">
        <v>4.3</v>
      </c>
      <c r="M247" s="25">
        <v>36</v>
      </c>
      <c r="N247" s="27" t="s">
        <v>6</v>
      </c>
      <c r="O247" s="28" t="s">
        <v>239</v>
      </c>
    </row>
    <row r="248" spans="1:15" ht="60" x14ac:dyDescent="0.25">
      <c r="A248">
        <v>8593</v>
      </c>
      <c r="B248" s="24">
        <v>1</v>
      </c>
      <c r="C248" s="29" t="s">
        <v>240</v>
      </c>
      <c r="D248">
        <v>2016</v>
      </c>
      <c r="E248" s="24">
        <v>30</v>
      </c>
      <c r="F248" s="25">
        <v>48.5</v>
      </c>
      <c r="G248" s="24">
        <v>15</v>
      </c>
      <c r="H248" s="26">
        <v>-29.817900000000002</v>
      </c>
      <c r="I248" s="25">
        <v>25.713100000000001</v>
      </c>
      <c r="J248" s="26" t="s">
        <v>1</v>
      </c>
      <c r="K248" s="24">
        <v>4</v>
      </c>
      <c r="L248" s="26"/>
      <c r="M248" s="25">
        <v>73</v>
      </c>
      <c r="N248" s="27" t="s">
        <v>6</v>
      </c>
      <c r="O248" s="28" t="s">
        <v>113</v>
      </c>
    </row>
    <row r="249" spans="1:15" ht="60" x14ac:dyDescent="0.25">
      <c r="A249">
        <v>8594</v>
      </c>
      <c r="B249" s="24">
        <v>1</v>
      </c>
      <c r="C249" s="29" t="s">
        <v>240</v>
      </c>
      <c r="D249">
        <v>2016</v>
      </c>
      <c r="E249" s="24">
        <v>48</v>
      </c>
      <c r="F249" s="25">
        <v>22.28</v>
      </c>
      <c r="G249" s="24">
        <v>16</v>
      </c>
      <c r="H249" s="26">
        <v>-9.3541000000000007</v>
      </c>
      <c r="I249" s="25">
        <v>45.9726</v>
      </c>
      <c r="J249" s="26" t="s">
        <v>1</v>
      </c>
      <c r="K249" s="24">
        <v>5.0999999999999996</v>
      </c>
      <c r="L249" s="26"/>
      <c r="M249" s="25">
        <v>92</v>
      </c>
      <c r="N249" s="27" t="s">
        <v>241</v>
      </c>
      <c r="O249" s="28" t="s">
        <v>242</v>
      </c>
    </row>
    <row r="250" spans="1:15" ht="45" x14ac:dyDescent="0.25">
      <c r="A250">
        <v>8595</v>
      </c>
      <c r="B250" s="24">
        <v>1</v>
      </c>
      <c r="C250" s="29" t="s">
        <v>240</v>
      </c>
      <c r="D250">
        <v>2016</v>
      </c>
      <c r="E250" s="24">
        <v>14</v>
      </c>
      <c r="F250" s="25">
        <v>15.05</v>
      </c>
      <c r="G250" s="24">
        <v>17</v>
      </c>
      <c r="H250" s="26">
        <v>-10.2166</v>
      </c>
      <c r="I250" s="25">
        <v>16.672499999999999</v>
      </c>
      <c r="J250" s="26" t="s">
        <v>1</v>
      </c>
      <c r="K250" s="24">
        <v>4.3</v>
      </c>
      <c r="L250" s="26"/>
      <c r="M250" s="25">
        <v>100</v>
      </c>
      <c r="N250" s="27" t="s">
        <v>63</v>
      </c>
      <c r="O250" s="28" t="s">
        <v>243</v>
      </c>
    </row>
    <row r="251" spans="1:15" ht="60" x14ac:dyDescent="0.25">
      <c r="A251">
        <v>8596</v>
      </c>
      <c r="B251" s="24">
        <v>1</v>
      </c>
      <c r="C251" s="29" t="s">
        <v>240</v>
      </c>
      <c r="D251">
        <v>2016</v>
      </c>
      <c r="E251" s="24">
        <v>35</v>
      </c>
      <c r="F251" s="25">
        <v>37.4</v>
      </c>
      <c r="G251" s="24">
        <v>19</v>
      </c>
      <c r="H251" s="26">
        <v>25.5166</v>
      </c>
      <c r="I251" s="25">
        <v>28.631900000000002</v>
      </c>
      <c r="J251" s="26" t="s">
        <v>1</v>
      </c>
      <c r="K251" s="24">
        <v>4.4000000000000004</v>
      </c>
      <c r="L251" s="26">
        <v>3.9</v>
      </c>
      <c r="M251" s="25">
        <v>58</v>
      </c>
      <c r="N251" s="27" t="s">
        <v>72</v>
      </c>
      <c r="O251" s="28" t="s">
        <v>244</v>
      </c>
    </row>
    <row r="252" spans="1:15" ht="30" x14ac:dyDescent="0.25">
      <c r="A252">
        <v>8597</v>
      </c>
      <c r="B252" s="24">
        <v>1</v>
      </c>
      <c r="C252" s="29" t="s">
        <v>240</v>
      </c>
      <c r="D252">
        <v>2016</v>
      </c>
      <c r="E252" s="24">
        <v>49</v>
      </c>
      <c r="F252" s="25">
        <v>36.35</v>
      </c>
      <c r="G252" s="24">
        <v>22</v>
      </c>
      <c r="H252" s="26">
        <v>-5.3053999999999997</v>
      </c>
      <c r="I252" s="25">
        <v>33.094099999999997</v>
      </c>
      <c r="J252" s="26" t="s">
        <v>1</v>
      </c>
      <c r="K252" s="24">
        <v>4</v>
      </c>
      <c r="L252" s="26">
        <v>3.8</v>
      </c>
      <c r="M252" s="25">
        <v>140</v>
      </c>
      <c r="N252" s="27" t="s">
        <v>96</v>
      </c>
      <c r="O252" s="28" t="s">
        <v>125</v>
      </c>
    </row>
    <row r="253" spans="1:15" ht="60" x14ac:dyDescent="0.25">
      <c r="A253">
        <v>8598</v>
      </c>
      <c r="B253" s="24">
        <v>2</v>
      </c>
      <c r="C253" s="29" t="s">
        <v>240</v>
      </c>
      <c r="D253">
        <v>2016</v>
      </c>
      <c r="E253" s="24">
        <v>26</v>
      </c>
      <c r="F253" s="25">
        <v>37.42</v>
      </c>
      <c r="G253" s="24">
        <v>5</v>
      </c>
      <c r="H253" s="26">
        <v>-25.541</v>
      </c>
      <c r="I253" s="25">
        <v>27.904800000000002</v>
      </c>
      <c r="J253" s="26" t="s">
        <v>1</v>
      </c>
      <c r="K253" s="24"/>
      <c r="L253" s="26">
        <v>2.6</v>
      </c>
      <c r="M253" s="25">
        <v>124</v>
      </c>
      <c r="N253" s="27" t="s">
        <v>6</v>
      </c>
      <c r="O253" s="28" t="s">
        <v>245</v>
      </c>
    </row>
    <row r="254" spans="1:15" ht="60" x14ac:dyDescent="0.25">
      <c r="A254">
        <v>8599</v>
      </c>
      <c r="B254" s="24">
        <v>2</v>
      </c>
      <c r="C254" s="29" t="s">
        <v>240</v>
      </c>
      <c r="D254">
        <v>2016</v>
      </c>
      <c r="E254" s="24">
        <v>56</v>
      </c>
      <c r="F254" s="25">
        <v>33.35</v>
      </c>
      <c r="G254" s="24">
        <v>19</v>
      </c>
      <c r="H254" s="26">
        <v>-32.671100000000003</v>
      </c>
      <c r="I254" s="25">
        <v>21.961099999999998</v>
      </c>
      <c r="J254" s="26" t="s">
        <v>1</v>
      </c>
      <c r="K254" s="24">
        <v>4.5</v>
      </c>
      <c r="L254" s="26"/>
      <c r="M254" s="25">
        <v>44</v>
      </c>
      <c r="N254" s="27" t="s">
        <v>6</v>
      </c>
      <c r="O254" s="28" t="s">
        <v>246</v>
      </c>
    </row>
    <row r="255" spans="1:15" ht="45" x14ac:dyDescent="0.25">
      <c r="A255">
        <v>8600</v>
      </c>
      <c r="B255" s="8">
        <v>2</v>
      </c>
      <c r="C255" s="21" t="s">
        <v>240</v>
      </c>
      <c r="D255">
        <v>2016</v>
      </c>
      <c r="E255" s="8">
        <v>37</v>
      </c>
      <c r="F255" s="9">
        <v>4.45</v>
      </c>
      <c r="G255" s="8">
        <v>20</v>
      </c>
      <c r="H255" s="11">
        <v>6.5705</v>
      </c>
      <c r="I255" s="9">
        <v>-5.3891999999999998</v>
      </c>
      <c r="J255" s="11" t="s">
        <v>1</v>
      </c>
      <c r="K255" s="8"/>
      <c r="L255" s="11">
        <v>3.2</v>
      </c>
      <c r="M255" s="9">
        <v>43</v>
      </c>
      <c r="N255" s="12" t="s">
        <v>15</v>
      </c>
      <c r="O255" s="13" t="s">
        <v>247</v>
      </c>
    </row>
    <row r="256" spans="1:15" ht="90" x14ac:dyDescent="0.25">
      <c r="A256">
        <v>8601</v>
      </c>
      <c r="B256" s="24">
        <v>3</v>
      </c>
      <c r="C256" s="29" t="s">
        <v>240</v>
      </c>
      <c r="D256">
        <v>2016</v>
      </c>
      <c r="E256" s="24">
        <v>40</v>
      </c>
      <c r="F256" s="25">
        <v>52.75</v>
      </c>
      <c r="G256" s="24">
        <v>3</v>
      </c>
      <c r="H256" s="26">
        <v>34.731400000000001</v>
      </c>
      <c r="I256" s="25">
        <v>8.0846</v>
      </c>
      <c r="J256" s="26" t="s">
        <v>1</v>
      </c>
      <c r="K256" s="24">
        <v>3.3</v>
      </c>
      <c r="L256" s="26"/>
      <c r="M256" s="25">
        <v>130</v>
      </c>
      <c r="N256" s="27" t="s">
        <v>2</v>
      </c>
      <c r="O256" s="28" t="s">
        <v>248</v>
      </c>
    </row>
    <row r="257" spans="1:15" ht="45" x14ac:dyDescent="0.25">
      <c r="A257">
        <v>8602</v>
      </c>
      <c r="B257" s="24">
        <v>3</v>
      </c>
      <c r="C257" s="29" t="s">
        <v>240</v>
      </c>
      <c r="D257">
        <v>2016</v>
      </c>
      <c r="E257" s="24">
        <v>40</v>
      </c>
      <c r="F257" s="25">
        <v>28.98</v>
      </c>
      <c r="G257" s="24">
        <v>4</v>
      </c>
      <c r="H257" s="26">
        <v>-24.7074</v>
      </c>
      <c r="I257" s="25">
        <v>45.276200000000003</v>
      </c>
      <c r="J257" s="26" t="s">
        <v>1</v>
      </c>
      <c r="K257" s="24">
        <v>4.0999999999999996</v>
      </c>
      <c r="L257" s="26"/>
      <c r="M257" s="25">
        <v>58</v>
      </c>
      <c r="N257" s="27" t="s">
        <v>177</v>
      </c>
      <c r="O257" s="28" t="s">
        <v>249</v>
      </c>
    </row>
    <row r="258" spans="1:15" ht="90" x14ac:dyDescent="0.25">
      <c r="A258">
        <v>8603</v>
      </c>
      <c r="B258" s="8">
        <v>3</v>
      </c>
      <c r="C258" s="21" t="s">
        <v>240</v>
      </c>
      <c r="D258">
        <v>2016</v>
      </c>
      <c r="E258" s="8">
        <v>47</v>
      </c>
      <c r="F258" s="9">
        <v>49.67</v>
      </c>
      <c r="G258" s="8">
        <v>11</v>
      </c>
      <c r="H258" s="11">
        <v>4.3528000000000002</v>
      </c>
      <c r="I258" s="9">
        <v>-13.462300000000001</v>
      </c>
      <c r="J258" s="11" t="s">
        <v>1</v>
      </c>
      <c r="K258" s="8">
        <v>4.0999999999999996</v>
      </c>
      <c r="L258" s="11">
        <v>3.7</v>
      </c>
      <c r="M258" s="9">
        <v>3</v>
      </c>
      <c r="N258" s="12" t="s">
        <v>154</v>
      </c>
      <c r="O258" s="13" t="s">
        <v>233</v>
      </c>
    </row>
    <row r="259" spans="1:15" ht="45" x14ac:dyDescent="0.25">
      <c r="A259">
        <v>8604</v>
      </c>
      <c r="B259" s="8">
        <v>3</v>
      </c>
      <c r="C259" s="21" t="s">
        <v>240</v>
      </c>
      <c r="D259">
        <v>2016</v>
      </c>
      <c r="E259" s="8">
        <v>26</v>
      </c>
      <c r="F259" s="9">
        <v>21.6</v>
      </c>
      <c r="G259" s="8">
        <v>17</v>
      </c>
      <c r="H259" s="11">
        <v>7.5579000000000001</v>
      </c>
      <c r="I259" s="9">
        <v>-3.7561</v>
      </c>
      <c r="J259" s="11" t="s">
        <v>1</v>
      </c>
      <c r="K259" s="8">
        <v>3.7</v>
      </c>
      <c r="L259" s="11"/>
      <c r="M259" s="9">
        <v>135</v>
      </c>
      <c r="N259" s="12" t="s">
        <v>15</v>
      </c>
      <c r="O259" s="13" t="s">
        <v>250</v>
      </c>
    </row>
    <row r="260" spans="1:15" ht="45" x14ac:dyDescent="0.25">
      <c r="A260">
        <v>8605</v>
      </c>
      <c r="B260" s="24">
        <v>3</v>
      </c>
      <c r="C260" s="29" t="s">
        <v>240</v>
      </c>
      <c r="D260">
        <v>2016</v>
      </c>
      <c r="E260" s="24">
        <v>53</v>
      </c>
      <c r="F260" s="25">
        <v>56.55</v>
      </c>
      <c r="G260" s="24">
        <v>21</v>
      </c>
      <c r="H260" s="26">
        <v>-2.7351999999999999</v>
      </c>
      <c r="I260" s="25">
        <v>35.677500000000002</v>
      </c>
      <c r="J260" s="26" t="s">
        <v>1</v>
      </c>
      <c r="K260" s="24">
        <v>4.2</v>
      </c>
      <c r="L260" s="26"/>
      <c r="M260" s="26">
        <v>148</v>
      </c>
      <c r="N260" s="27" t="s">
        <v>96</v>
      </c>
      <c r="O260" s="28" t="s">
        <v>251</v>
      </c>
    </row>
    <row r="261" spans="1:15" ht="60" x14ac:dyDescent="0.25">
      <c r="A261">
        <v>8606</v>
      </c>
      <c r="B261" s="24">
        <v>4</v>
      </c>
      <c r="C261" s="29" t="s">
        <v>240</v>
      </c>
      <c r="D261">
        <v>2016</v>
      </c>
      <c r="E261" s="24">
        <v>23</v>
      </c>
      <c r="F261" s="25">
        <v>2.87</v>
      </c>
      <c r="G261" s="24">
        <v>0</v>
      </c>
      <c r="H261" s="26">
        <v>-21.734400000000001</v>
      </c>
      <c r="I261" s="25">
        <v>45.1676</v>
      </c>
      <c r="J261" s="26" t="s">
        <v>1</v>
      </c>
      <c r="K261" s="24">
        <v>4.3</v>
      </c>
      <c r="L261" s="26">
        <v>3.2</v>
      </c>
      <c r="M261" s="26">
        <v>176</v>
      </c>
      <c r="N261" s="27" t="s">
        <v>177</v>
      </c>
      <c r="O261" s="28" t="s">
        <v>252</v>
      </c>
    </row>
    <row r="262" spans="1:15" ht="90" x14ac:dyDescent="0.25">
      <c r="A262">
        <v>8607</v>
      </c>
      <c r="B262" s="24">
        <v>4</v>
      </c>
      <c r="C262" s="29" t="s">
        <v>240</v>
      </c>
      <c r="D262">
        <v>2016</v>
      </c>
      <c r="E262" s="24">
        <v>58</v>
      </c>
      <c r="F262" s="25">
        <v>24.05</v>
      </c>
      <c r="G262" s="24">
        <v>1</v>
      </c>
      <c r="H262" s="26">
        <v>-34.039200000000001</v>
      </c>
      <c r="I262" s="25">
        <v>29.414999999999999</v>
      </c>
      <c r="J262" s="26" t="s">
        <v>1</v>
      </c>
      <c r="K262" s="24">
        <v>3.7</v>
      </c>
      <c r="L262" s="26">
        <v>2.2999999999999998</v>
      </c>
      <c r="M262" s="26">
        <v>47</v>
      </c>
      <c r="N262" s="27" t="s">
        <v>154</v>
      </c>
      <c r="O262" s="28" t="s">
        <v>253</v>
      </c>
    </row>
    <row r="263" spans="1:15" ht="60" x14ac:dyDescent="0.25">
      <c r="A263">
        <v>8608</v>
      </c>
      <c r="B263" s="8">
        <v>4</v>
      </c>
      <c r="C263" s="21" t="s">
        <v>240</v>
      </c>
      <c r="D263">
        <v>2016</v>
      </c>
      <c r="E263" s="8">
        <v>16</v>
      </c>
      <c r="F263" s="9">
        <v>58.04</v>
      </c>
      <c r="G263" s="8">
        <v>4</v>
      </c>
      <c r="H263" s="11">
        <v>6.6475999999999997</v>
      </c>
      <c r="I263" s="9">
        <v>-6.8216000000000001</v>
      </c>
      <c r="J263" s="11" t="s">
        <v>1</v>
      </c>
      <c r="K263" s="8"/>
      <c r="L263" s="11">
        <v>3.4</v>
      </c>
      <c r="M263" s="11">
        <v>23</v>
      </c>
      <c r="N263" s="12" t="s">
        <v>15</v>
      </c>
      <c r="O263" s="13" t="s">
        <v>254</v>
      </c>
    </row>
    <row r="264" spans="1:15" ht="45" x14ac:dyDescent="0.25">
      <c r="A264">
        <v>8609</v>
      </c>
      <c r="B264" s="24">
        <v>4</v>
      </c>
      <c r="C264" s="29" t="s">
        <v>240</v>
      </c>
      <c r="D264">
        <v>2016</v>
      </c>
      <c r="E264" s="24">
        <v>13</v>
      </c>
      <c r="F264" s="25">
        <v>23.96</v>
      </c>
      <c r="G264" s="24">
        <v>5</v>
      </c>
      <c r="H264" s="26">
        <v>32.894599999999997</v>
      </c>
      <c r="I264" s="25">
        <v>1.4077999999999999</v>
      </c>
      <c r="J264" s="26" t="s">
        <v>1</v>
      </c>
      <c r="K264" s="24">
        <v>4.2</v>
      </c>
      <c r="L264" s="26">
        <v>3.3</v>
      </c>
      <c r="M264" s="26">
        <v>15</v>
      </c>
      <c r="N264" s="27" t="s">
        <v>10</v>
      </c>
      <c r="O264" s="28" t="s">
        <v>255</v>
      </c>
    </row>
    <row r="265" spans="1:15" ht="75" x14ac:dyDescent="0.25">
      <c r="A265">
        <v>8610</v>
      </c>
      <c r="B265" s="24">
        <v>4</v>
      </c>
      <c r="C265" s="29" t="s">
        <v>240</v>
      </c>
      <c r="D265">
        <v>2016</v>
      </c>
      <c r="E265" s="24">
        <v>10</v>
      </c>
      <c r="F265" s="25">
        <v>15.74</v>
      </c>
      <c r="G265" s="24">
        <v>8</v>
      </c>
      <c r="H265" s="26">
        <v>-30.380800000000001</v>
      </c>
      <c r="I265" s="25">
        <v>32.394500000000001</v>
      </c>
      <c r="J265" s="26" t="s">
        <v>1</v>
      </c>
      <c r="K265" s="24">
        <v>4.0999999999999996</v>
      </c>
      <c r="L265" s="26">
        <v>2.5</v>
      </c>
      <c r="M265" s="26">
        <v>32</v>
      </c>
      <c r="N265" s="27" t="s">
        <v>24</v>
      </c>
      <c r="O265" s="28" t="s">
        <v>256</v>
      </c>
    </row>
    <row r="266" spans="1:15" ht="60" x14ac:dyDescent="0.25">
      <c r="A266">
        <v>8611</v>
      </c>
      <c r="B266" s="24">
        <v>4</v>
      </c>
      <c r="C266" s="29" t="s">
        <v>240</v>
      </c>
      <c r="D266">
        <v>2016</v>
      </c>
      <c r="E266" s="24">
        <v>4</v>
      </c>
      <c r="F266" s="25">
        <v>8.66</v>
      </c>
      <c r="G266" s="24">
        <v>11</v>
      </c>
      <c r="H266" s="26">
        <v>-28.572900000000001</v>
      </c>
      <c r="I266" s="25">
        <v>24.695699999999999</v>
      </c>
      <c r="J266" s="26" t="s">
        <v>1</v>
      </c>
      <c r="K266" s="24">
        <v>4.4000000000000004</v>
      </c>
      <c r="L266" s="26"/>
      <c r="M266" s="26">
        <v>20</v>
      </c>
      <c r="N266" s="27" t="s">
        <v>6</v>
      </c>
      <c r="O266" s="28" t="s">
        <v>257</v>
      </c>
    </row>
    <row r="267" spans="1:15" ht="120" x14ac:dyDescent="0.25">
      <c r="A267">
        <v>8612</v>
      </c>
      <c r="B267" s="24">
        <v>4</v>
      </c>
      <c r="C267" s="29" t="s">
        <v>240</v>
      </c>
      <c r="D267">
        <v>2016</v>
      </c>
      <c r="E267" s="24">
        <v>42</v>
      </c>
      <c r="F267" s="25">
        <v>14.19</v>
      </c>
      <c r="G267" s="24">
        <v>14</v>
      </c>
      <c r="H267" s="26">
        <v>-19.4847</v>
      </c>
      <c r="I267" s="25">
        <v>23.761500000000002</v>
      </c>
      <c r="J267" s="26" t="s">
        <v>1</v>
      </c>
      <c r="K267" s="24">
        <v>4.3</v>
      </c>
      <c r="L267" s="26">
        <v>3.8</v>
      </c>
      <c r="M267" s="26">
        <v>115</v>
      </c>
      <c r="N267" s="27" t="s">
        <v>66</v>
      </c>
      <c r="O267" s="28" t="s">
        <v>258</v>
      </c>
    </row>
    <row r="268" spans="1:15" ht="60" x14ac:dyDescent="0.25">
      <c r="A268">
        <v>8613</v>
      </c>
      <c r="B268" s="24">
        <v>5</v>
      </c>
      <c r="C268" s="29" t="s">
        <v>240</v>
      </c>
      <c r="D268">
        <v>2016</v>
      </c>
      <c r="E268" s="24">
        <v>22</v>
      </c>
      <c r="F268" s="25">
        <v>55.74</v>
      </c>
      <c r="G268" s="24">
        <v>6</v>
      </c>
      <c r="H268" s="26">
        <v>-28.957899999999999</v>
      </c>
      <c r="I268" s="25">
        <v>27.4331</v>
      </c>
      <c r="J268" s="26" t="s">
        <v>1</v>
      </c>
      <c r="K268" s="24">
        <v>4.0999999999999996</v>
      </c>
      <c r="L268" s="26"/>
      <c r="M268" s="26">
        <v>177</v>
      </c>
      <c r="N268" s="27" t="s">
        <v>6</v>
      </c>
      <c r="O268" s="28" t="s">
        <v>259</v>
      </c>
    </row>
    <row r="269" spans="1:15" ht="45" x14ac:dyDescent="0.25">
      <c r="A269">
        <v>8614</v>
      </c>
      <c r="B269" s="8">
        <v>5</v>
      </c>
      <c r="C269" s="21" t="s">
        <v>240</v>
      </c>
      <c r="D269">
        <v>2016</v>
      </c>
      <c r="E269" s="8">
        <v>36</v>
      </c>
      <c r="F269" s="9">
        <v>2.17</v>
      </c>
      <c r="G269" s="8">
        <v>22</v>
      </c>
      <c r="H269" s="31">
        <v>8.016</v>
      </c>
      <c r="I269" s="9">
        <v>-5.2168999999999999</v>
      </c>
      <c r="J269" s="11" t="s">
        <v>1</v>
      </c>
      <c r="K269" s="8">
        <v>4.4000000000000004</v>
      </c>
      <c r="L269" s="11"/>
      <c r="M269" s="11">
        <v>83</v>
      </c>
      <c r="N269" s="12" t="s">
        <v>15</v>
      </c>
      <c r="O269" s="13" t="s">
        <v>260</v>
      </c>
    </row>
    <row r="270" spans="1:15" ht="45" x14ac:dyDescent="0.25">
      <c r="A270">
        <v>8615</v>
      </c>
      <c r="B270" s="24">
        <v>5</v>
      </c>
      <c r="C270" s="29" t="s">
        <v>240</v>
      </c>
      <c r="D270">
        <v>2016</v>
      </c>
      <c r="E270" s="24">
        <v>29</v>
      </c>
      <c r="F270" s="25">
        <v>47.81</v>
      </c>
      <c r="G270" s="24">
        <v>4</v>
      </c>
      <c r="H270" s="26">
        <v>24.022400000000001</v>
      </c>
      <c r="I270" s="25">
        <v>2.7504</v>
      </c>
      <c r="J270" s="26" t="s">
        <v>1</v>
      </c>
      <c r="K270" s="24">
        <v>3.9</v>
      </c>
      <c r="L270" s="26">
        <v>4.2</v>
      </c>
      <c r="M270" s="26">
        <v>109</v>
      </c>
      <c r="N270" s="27" t="s">
        <v>110</v>
      </c>
      <c r="O270" s="28" t="s">
        <v>261</v>
      </c>
    </row>
    <row r="271" spans="1:15" ht="90" x14ac:dyDescent="0.25">
      <c r="A271">
        <v>8616</v>
      </c>
      <c r="B271" s="24">
        <v>6</v>
      </c>
      <c r="C271" s="29" t="s">
        <v>240</v>
      </c>
      <c r="D271">
        <v>2016</v>
      </c>
      <c r="E271" s="24">
        <v>50</v>
      </c>
      <c r="F271" s="25">
        <v>4.6399999999999997</v>
      </c>
      <c r="G271" s="24">
        <v>5</v>
      </c>
      <c r="H271" s="26">
        <v>2.1006</v>
      </c>
      <c r="I271" s="25">
        <v>7.2416999999999998</v>
      </c>
      <c r="J271" s="26" t="s">
        <v>1</v>
      </c>
      <c r="K271" s="24">
        <v>4.2</v>
      </c>
      <c r="L271" s="32">
        <v>3</v>
      </c>
      <c r="M271" s="26">
        <v>138</v>
      </c>
      <c r="N271" s="27" t="s">
        <v>154</v>
      </c>
      <c r="O271" s="28" t="s">
        <v>262</v>
      </c>
    </row>
    <row r="272" spans="1:15" ht="60" x14ac:dyDescent="0.25">
      <c r="A272">
        <v>8617</v>
      </c>
      <c r="B272" s="24">
        <v>6</v>
      </c>
      <c r="C272" s="29" t="s">
        <v>240</v>
      </c>
      <c r="D272">
        <v>2016</v>
      </c>
      <c r="E272" s="24">
        <v>19</v>
      </c>
      <c r="F272" s="25">
        <v>19.68</v>
      </c>
      <c r="G272" s="24">
        <v>13</v>
      </c>
      <c r="H272" s="26">
        <v>-28.5229</v>
      </c>
      <c r="I272" s="25">
        <v>24.3827</v>
      </c>
      <c r="J272" s="26" t="s">
        <v>1</v>
      </c>
      <c r="K272" s="24">
        <v>4.4000000000000004</v>
      </c>
      <c r="L272" s="26"/>
      <c r="M272" s="26">
        <v>72</v>
      </c>
      <c r="N272" s="27" t="s">
        <v>6</v>
      </c>
      <c r="O272" s="28" t="s">
        <v>263</v>
      </c>
    </row>
    <row r="273" spans="1:15" ht="45" x14ac:dyDescent="0.25">
      <c r="A273">
        <v>8618</v>
      </c>
      <c r="B273" s="8">
        <v>6</v>
      </c>
      <c r="C273" s="21" t="s">
        <v>240</v>
      </c>
      <c r="D273">
        <v>2016</v>
      </c>
      <c r="E273" s="8">
        <v>10</v>
      </c>
      <c r="F273" s="9">
        <v>59.89</v>
      </c>
      <c r="G273" s="8">
        <v>21</v>
      </c>
      <c r="H273" s="11">
        <v>11.8337</v>
      </c>
      <c r="I273" s="9">
        <v>-7.0669000000000004</v>
      </c>
      <c r="J273" s="11" t="s">
        <v>1</v>
      </c>
      <c r="K273" s="8">
        <v>4.4000000000000004</v>
      </c>
      <c r="L273" s="11">
        <v>2.4</v>
      </c>
      <c r="M273" s="11">
        <v>151</v>
      </c>
      <c r="N273" s="12" t="s">
        <v>15</v>
      </c>
      <c r="O273" s="13" t="s">
        <v>264</v>
      </c>
    </row>
    <row r="274" spans="1:15" ht="45" x14ac:dyDescent="0.25">
      <c r="A274">
        <v>8619</v>
      </c>
      <c r="B274" s="24">
        <v>7</v>
      </c>
      <c r="C274" s="29" t="s">
        <v>240</v>
      </c>
      <c r="D274">
        <v>2016</v>
      </c>
      <c r="E274" s="24">
        <v>14</v>
      </c>
      <c r="F274" s="25">
        <v>53.02</v>
      </c>
      <c r="G274" s="24">
        <v>4</v>
      </c>
      <c r="H274" s="26">
        <v>0.1202</v>
      </c>
      <c r="I274" s="25">
        <v>37.892600000000002</v>
      </c>
      <c r="J274" s="26" t="s">
        <v>1</v>
      </c>
      <c r="K274" s="24">
        <v>4.5</v>
      </c>
      <c r="L274" s="26"/>
      <c r="M274" s="26">
        <v>113</v>
      </c>
      <c r="N274" s="27" t="s">
        <v>13</v>
      </c>
      <c r="O274" s="28" t="s">
        <v>265</v>
      </c>
    </row>
    <row r="275" spans="1:15" ht="30" x14ac:dyDescent="0.25">
      <c r="A275">
        <v>8620</v>
      </c>
      <c r="B275" s="24">
        <v>7</v>
      </c>
      <c r="C275" s="29" t="s">
        <v>240</v>
      </c>
      <c r="D275">
        <v>2016</v>
      </c>
      <c r="E275" s="24">
        <v>24</v>
      </c>
      <c r="F275" s="25">
        <v>32.799999999999997</v>
      </c>
      <c r="G275" s="24">
        <v>4</v>
      </c>
      <c r="H275" s="26">
        <v>-11.505699999999999</v>
      </c>
      <c r="I275" s="25">
        <v>34.584499999999998</v>
      </c>
      <c r="J275" s="26" t="s">
        <v>1</v>
      </c>
      <c r="K275" s="24">
        <v>4.0999999999999996</v>
      </c>
      <c r="L275" s="26">
        <v>4.7</v>
      </c>
      <c r="M275" s="26">
        <v>94</v>
      </c>
      <c r="N275" s="27" t="s">
        <v>266</v>
      </c>
      <c r="O275" s="28" t="s">
        <v>267</v>
      </c>
    </row>
    <row r="276" spans="1:15" ht="30" x14ac:dyDescent="0.25">
      <c r="A276">
        <v>8621</v>
      </c>
      <c r="B276" s="24">
        <v>7</v>
      </c>
      <c r="C276" s="29" t="s">
        <v>240</v>
      </c>
      <c r="D276">
        <v>2016</v>
      </c>
      <c r="E276" s="24">
        <v>24</v>
      </c>
      <c r="F276" s="25">
        <v>47.69</v>
      </c>
      <c r="G276" s="24">
        <v>4</v>
      </c>
      <c r="H276" s="33">
        <v>-10.641999999999999</v>
      </c>
      <c r="I276" s="25">
        <v>32.863700000000001</v>
      </c>
      <c r="J276" s="26" t="s">
        <v>1</v>
      </c>
      <c r="K276" s="24">
        <v>3.9</v>
      </c>
      <c r="L276" s="26">
        <v>4.5999999999999996</v>
      </c>
      <c r="M276" s="26">
        <v>106</v>
      </c>
      <c r="N276" s="27" t="s">
        <v>82</v>
      </c>
      <c r="O276" s="28" t="s">
        <v>268</v>
      </c>
    </row>
    <row r="277" spans="1:15" ht="30" x14ac:dyDescent="0.25">
      <c r="A277">
        <v>8622</v>
      </c>
      <c r="B277" s="24">
        <v>7</v>
      </c>
      <c r="C277" s="29" t="s">
        <v>240</v>
      </c>
      <c r="D277">
        <v>2016</v>
      </c>
      <c r="E277" s="24">
        <v>8</v>
      </c>
      <c r="F277" s="25">
        <v>57.43</v>
      </c>
      <c r="G277" s="24">
        <v>5</v>
      </c>
      <c r="H277" s="26">
        <v>35.717700000000001</v>
      </c>
      <c r="I277" s="25">
        <v>9.3024000000000004</v>
      </c>
      <c r="J277" s="26" t="s">
        <v>1</v>
      </c>
      <c r="K277" s="24">
        <v>4.3</v>
      </c>
      <c r="L277" s="26"/>
      <c r="M277" s="26">
        <v>68</v>
      </c>
      <c r="N277" s="27" t="s">
        <v>2</v>
      </c>
      <c r="O277" s="28" t="s">
        <v>269</v>
      </c>
    </row>
    <row r="278" spans="1:15" ht="45" x14ac:dyDescent="0.25">
      <c r="A278">
        <v>8623</v>
      </c>
      <c r="B278" s="8">
        <v>7</v>
      </c>
      <c r="C278" s="21" t="s">
        <v>240</v>
      </c>
      <c r="D278">
        <v>2016</v>
      </c>
      <c r="E278" s="8">
        <v>20</v>
      </c>
      <c r="F278" s="9">
        <v>14.64</v>
      </c>
      <c r="G278" s="8">
        <v>12</v>
      </c>
      <c r="H278" s="31">
        <v>19.335000000000001</v>
      </c>
      <c r="I278" s="9">
        <v>-5.9882999999999997</v>
      </c>
      <c r="J278" s="11" t="s">
        <v>1</v>
      </c>
      <c r="K278" s="8">
        <v>4.2</v>
      </c>
      <c r="L278" s="11">
        <v>3.7</v>
      </c>
      <c r="M278" s="11">
        <v>92</v>
      </c>
      <c r="N278" s="34" t="s">
        <v>15</v>
      </c>
      <c r="O278" s="13" t="s">
        <v>270</v>
      </c>
    </row>
    <row r="279" spans="1:15" ht="45" x14ac:dyDescent="0.25">
      <c r="A279">
        <v>8624</v>
      </c>
      <c r="B279" s="8">
        <v>7</v>
      </c>
      <c r="C279" s="21" t="s">
        <v>240</v>
      </c>
      <c r="D279">
        <v>2016</v>
      </c>
      <c r="E279" s="8">
        <v>5</v>
      </c>
      <c r="F279" s="9">
        <v>41.56</v>
      </c>
      <c r="G279" s="8">
        <v>15</v>
      </c>
      <c r="H279" s="11">
        <v>5.7803000000000004</v>
      </c>
      <c r="I279" s="35">
        <v>-3.71</v>
      </c>
      <c r="J279" s="11" t="s">
        <v>1</v>
      </c>
      <c r="K279" s="8"/>
      <c r="L279" s="11">
        <v>2.7</v>
      </c>
      <c r="M279" s="11">
        <v>24</v>
      </c>
      <c r="N279" s="34" t="s">
        <v>15</v>
      </c>
      <c r="O279" s="13" t="s">
        <v>271</v>
      </c>
    </row>
    <row r="280" spans="1:15" ht="60" x14ac:dyDescent="0.25">
      <c r="A280">
        <v>8625</v>
      </c>
      <c r="B280" s="24">
        <v>8</v>
      </c>
      <c r="C280" s="29" t="s">
        <v>240</v>
      </c>
      <c r="D280">
        <v>2016</v>
      </c>
      <c r="E280" s="24">
        <v>18</v>
      </c>
      <c r="F280" s="25">
        <v>34.69</v>
      </c>
      <c r="G280" s="24">
        <v>13</v>
      </c>
      <c r="H280" s="26">
        <v>-25.997699999999998</v>
      </c>
      <c r="I280" s="25">
        <v>21.1328</v>
      </c>
      <c r="J280" s="26" t="s">
        <v>1</v>
      </c>
      <c r="K280" s="36">
        <v>4</v>
      </c>
      <c r="L280" s="26">
        <v>3.2</v>
      </c>
      <c r="M280" s="26">
        <v>49</v>
      </c>
      <c r="N280" s="27" t="s">
        <v>66</v>
      </c>
      <c r="O280" s="28" t="s">
        <v>272</v>
      </c>
    </row>
    <row r="281" spans="1:15" ht="60" x14ac:dyDescent="0.25">
      <c r="A281">
        <v>8626</v>
      </c>
      <c r="B281" s="24">
        <v>9</v>
      </c>
      <c r="C281" s="29" t="s">
        <v>240</v>
      </c>
      <c r="D281">
        <v>2016</v>
      </c>
      <c r="E281" s="24">
        <v>2</v>
      </c>
      <c r="F281" s="25">
        <v>13.96</v>
      </c>
      <c r="G281" s="24">
        <v>2</v>
      </c>
      <c r="H281" s="26">
        <v>-29.0533</v>
      </c>
      <c r="I281" s="37">
        <v>23.167000000000002</v>
      </c>
      <c r="J281" s="26" t="s">
        <v>1</v>
      </c>
      <c r="K281" s="24">
        <v>3.9</v>
      </c>
      <c r="L281" s="26"/>
      <c r="M281" s="26">
        <v>144</v>
      </c>
      <c r="N281" s="27" t="s">
        <v>6</v>
      </c>
      <c r="O281" s="28" t="s">
        <v>273</v>
      </c>
    </row>
    <row r="282" spans="1:15" ht="45" x14ac:dyDescent="0.25">
      <c r="A282">
        <v>8627</v>
      </c>
      <c r="B282" s="8">
        <v>9</v>
      </c>
      <c r="C282" s="21" t="s">
        <v>240</v>
      </c>
      <c r="D282">
        <v>2016</v>
      </c>
      <c r="E282" s="8">
        <v>20</v>
      </c>
      <c r="F282" s="9">
        <v>18.97</v>
      </c>
      <c r="G282" s="8">
        <v>10</v>
      </c>
      <c r="H282" s="11">
        <v>23.094799999999999</v>
      </c>
      <c r="I282" s="9">
        <v>-11.7753</v>
      </c>
      <c r="J282" s="11" t="s">
        <v>1</v>
      </c>
      <c r="K282" s="38">
        <v>4</v>
      </c>
      <c r="L282" s="39">
        <v>4</v>
      </c>
      <c r="M282" s="11">
        <v>113</v>
      </c>
      <c r="N282" s="12" t="s">
        <v>15</v>
      </c>
      <c r="O282" s="13" t="s">
        <v>207</v>
      </c>
    </row>
    <row r="283" spans="1:15" ht="45" x14ac:dyDescent="0.25">
      <c r="A283">
        <v>8628</v>
      </c>
      <c r="B283" s="8">
        <v>9</v>
      </c>
      <c r="C283" s="21" t="s">
        <v>240</v>
      </c>
      <c r="D283">
        <v>2016</v>
      </c>
      <c r="E283" s="8">
        <v>9</v>
      </c>
      <c r="F283" s="9">
        <v>36.369999999999997</v>
      </c>
      <c r="G283" s="8">
        <v>14</v>
      </c>
      <c r="H283" s="11">
        <v>5.9336000000000002</v>
      </c>
      <c r="I283" s="9">
        <v>-5.7289000000000003</v>
      </c>
      <c r="J283" s="11" t="s">
        <v>1</v>
      </c>
      <c r="K283" s="8">
        <v>4.0999999999999996</v>
      </c>
      <c r="L283" s="11"/>
      <c r="M283" s="11">
        <v>145</v>
      </c>
      <c r="N283" s="12" t="s">
        <v>15</v>
      </c>
      <c r="O283" s="13" t="s">
        <v>274</v>
      </c>
    </row>
    <row r="284" spans="1:15" ht="45" x14ac:dyDescent="0.25">
      <c r="A284">
        <v>8629</v>
      </c>
      <c r="B284" s="8">
        <v>9</v>
      </c>
      <c r="C284" s="21" t="s">
        <v>240</v>
      </c>
      <c r="D284">
        <v>2016</v>
      </c>
      <c r="E284" s="8">
        <v>59</v>
      </c>
      <c r="F284" s="9">
        <v>54.83</v>
      </c>
      <c r="G284" s="8">
        <v>14</v>
      </c>
      <c r="H284" s="11">
        <v>7.9965999999999999</v>
      </c>
      <c r="I284" s="9">
        <v>-4.4611000000000001</v>
      </c>
      <c r="J284" s="11" t="s">
        <v>1</v>
      </c>
      <c r="K284" s="8">
        <v>4.0999999999999996</v>
      </c>
      <c r="L284" s="11"/>
      <c r="M284" s="11">
        <v>128</v>
      </c>
      <c r="N284" s="12" t="s">
        <v>15</v>
      </c>
      <c r="O284" s="13" t="s">
        <v>275</v>
      </c>
    </row>
    <row r="285" spans="1:15" ht="60" x14ac:dyDescent="0.25">
      <c r="A285">
        <v>8630</v>
      </c>
      <c r="B285" s="8">
        <v>9</v>
      </c>
      <c r="C285" s="21" t="s">
        <v>240</v>
      </c>
      <c r="D285">
        <v>2016</v>
      </c>
      <c r="E285" s="8">
        <v>37</v>
      </c>
      <c r="F285" s="9">
        <v>25.79</v>
      </c>
      <c r="G285" s="8">
        <v>15</v>
      </c>
      <c r="H285" s="11">
        <v>6.2826000000000004</v>
      </c>
      <c r="I285" s="9">
        <v>-11.347799999999999</v>
      </c>
      <c r="J285" s="11" t="s">
        <v>1</v>
      </c>
      <c r="K285" s="38">
        <v>4</v>
      </c>
      <c r="L285" s="11">
        <v>3.8</v>
      </c>
      <c r="M285" s="11">
        <v>158</v>
      </c>
      <c r="N285" s="12" t="s">
        <v>15</v>
      </c>
      <c r="O285" s="13" t="s">
        <v>233</v>
      </c>
    </row>
    <row r="286" spans="1:15" ht="45" x14ac:dyDescent="0.25">
      <c r="A286">
        <v>8631</v>
      </c>
      <c r="B286" s="8">
        <v>9</v>
      </c>
      <c r="C286" s="21" t="s">
        <v>240</v>
      </c>
      <c r="D286">
        <v>2016</v>
      </c>
      <c r="E286" s="8">
        <v>27</v>
      </c>
      <c r="F286" s="9">
        <v>40.24</v>
      </c>
      <c r="G286" s="8">
        <v>4</v>
      </c>
      <c r="H286" s="11">
        <v>24.1418</v>
      </c>
      <c r="I286" s="9">
        <v>-8.9992999999999999</v>
      </c>
      <c r="J286" s="11" t="s">
        <v>1</v>
      </c>
      <c r="K286" s="8">
        <v>3.9</v>
      </c>
      <c r="L286" s="11">
        <v>3.4</v>
      </c>
      <c r="M286" s="11">
        <v>96</v>
      </c>
      <c r="N286" s="12" t="s">
        <v>15</v>
      </c>
      <c r="O286" s="13" t="s">
        <v>207</v>
      </c>
    </row>
    <row r="287" spans="1:15" ht="60" x14ac:dyDescent="0.25">
      <c r="A287">
        <v>8632</v>
      </c>
      <c r="B287" s="24">
        <v>10</v>
      </c>
      <c r="C287" s="29" t="s">
        <v>240</v>
      </c>
      <c r="D287">
        <v>2016</v>
      </c>
      <c r="E287" s="24">
        <v>32</v>
      </c>
      <c r="F287" s="25">
        <v>26.82</v>
      </c>
      <c r="G287" s="24">
        <v>12</v>
      </c>
      <c r="H287" s="26">
        <v>-25.283899999999999</v>
      </c>
      <c r="I287" s="25">
        <v>29.796399999999998</v>
      </c>
      <c r="J287" s="26" t="s">
        <v>1</v>
      </c>
      <c r="K287" s="24">
        <v>4.4000000000000004</v>
      </c>
      <c r="L287" s="26">
        <v>3.9</v>
      </c>
      <c r="M287" s="26">
        <v>141</v>
      </c>
      <c r="N287" s="27" t="s">
        <v>6</v>
      </c>
      <c r="O287" s="28" t="s">
        <v>276</v>
      </c>
    </row>
    <row r="288" spans="1:15" ht="90" x14ac:dyDescent="0.25">
      <c r="A288">
        <v>8633</v>
      </c>
      <c r="B288" s="24">
        <v>10</v>
      </c>
      <c r="C288" s="29" t="s">
        <v>240</v>
      </c>
      <c r="D288">
        <v>2016</v>
      </c>
      <c r="E288" s="24">
        <v>22</v>
      </c>
      <c r="F288" s="40">
        <v>51.1</v>
      </c>
      <c r="G288" s="24">
        <v>18</v>
      </c>
      <c r="H288" s="26">
        <v>3.6530999999999998</v>
      </c>
      <c r="I288" s="25">
        <v>-17.460899999999999</v>
      </c>
      <c r="J288" s="26" t="s">
        <v>1</v>
      </c>
      <c r="K288" s="24">
        <v>3.7</v>
      </c>
      <c r="L288" s="26">
        <v>4.5</v>
      </c>
      <c r="M288" s="26">
        <v>14</v>
      </c>
      <c r="N288" s="27" t="s">
        <v>154</v>
      </c>
      <c r="O288" s="28" t="s">
        <v>233</v>
      </c>
    </row>
    <row r="289" spans="1:15" ht="105" x14ac:dyDescent="0.25">
      <c r="A289">
        <v>8634</v>
      </c>
      <c r="B289" s="24">
        <v>12</v>
      </c>
      <c r="C289" s="29" t="s">
        <v>240</v>
      </c>
      <c r="D289">
        <v>2016</v>
      </c>
      <c r="E289" s="24">
        <v>28</v>
      </c>
      <c r="F289" s="25">
        <v>12.75</v>
      </c>
      <c r="G289" s="24">
        <v>9</v>
      </c>
      <c r="H289" s="26">
        <v>27.499300000000002</v>
      </c>
      <c r="I289" s="25">
        <v>28.088999999999999</v>
      </c>
      <c r="J289" s="26" t="s">
        <v>1</v>
      </c>
      <c r="K289" s="24">
        <v>3.8</v>
      </c>
      <c r="L289" s="26"/>
      <c r="M289" s="26">
        <v>83</v>
      </c>
      <c r="N289" s="27" t="s">
        <v>72</v>
      </c>
      <c r="O289" s="28" t="s">
        <v>277</v>
      </c>
    </row>
    <row r="290" spans="1:15" ht="60" x14ac:dyDescent="0.25">
      <c r="A290">
        <v>8635</v>
      </c>
      <c r="B290" s="24">
        <v>13</v>
      </c>
      <c r="C290" s="29" t="s">
        <v>240</v>
      </c>
      <c r="D290">
        <v>2016</v>
      </c>
      <c r="E290" s="24">
        <v>56</v>
      </c>
      <c r="F290" s="25">
        <v>49.92</v>
      </c>
      <c r="G290" s="41">
        <v>0</v>
      </c>
      <c r="H290" s="26">
        <v>-28.841100000000001</v>
      </c>
      <c r="I290" s="25">
        <v>24.808800000000002</v>
      </c>
      <c r="J290" s="26" t="s">
        <v>1</v>
      </c>
      <c r="K290" s="24">
        <v>4.3</v>
      </c>
      <c r="L290" s="26"/>
      <c r="M290" s="26">
        <v>67</v>
      </c>
      <c r="N290" s="27" t="s">
        <v>6</v>
      </c>
      <c r="O290" s="28" t="s">
        <v>30</v>
      </c>
    </row>
    <row r="291" spans="1:15" ht="90" x14ac:dyDescent="0.25">
      <c r="A291">
        <v>8636</v>
      </c>
      <c r="B291" s="24">
        <v>13</v>
      </c>
      <c r="C291" s="29" t="s">
        <v>240</v>
      </c>
      <c r="D291">
        <v>2016</v>
      </c>
      <c r="E291" s="24">
        <v>13</v>
      </c>
      <c r="F291" s="25">
        <v>11.1</v>
      </c>
      <c r="G291" s="24">
        <v>2</v>
      </c>
      <c r="H291" s="26">
        <v>3.9293</v>
      </c>
      <c r="I291" s="25">
        <v>-5.3468</v>
      </c>
      <c r="J291" s="26" t="s">
        <v>1</v>
      </c>
      <c r="K291" s="24">
        <v>3.7</v>
      </c>
      <c r="L291" s="26"/>
      <c r="M291" s="26">
        <v>71</v>
      </c>
      <c r="N291" s="27" t="s">
        <v>154</v>
      </c>
      <c r="O291" s="28" t="s">
        <v>262</v>
      </c>
    </row>
    <row r="292" spans="1:15" ht="30" x14ac:dyDescent="0.25">
      <c r="A292">
        <v>8637</v>
      </c>
      <c r="B292" s="24">
        <v>13</v>
      </c>
      <c r="C292" s="29" t="s">
        <v>240</v>
      </c>
      <c r="D292">
        <v>2016</v>
      </c>
      <c r="E292" s="24">
        <v>37</v>
      </c>
      <c r="F292" s="25">
        <v>28.48</v>
      </c>
      <c r="G292" s="24">
        <v>14</v>
      </c>
      <c r="H292" s="26">
        <v>12.3241</v>
      </c>
      <c r="I292" s="25">
        <v>16.3047</v>
      </c>
      <c r="J292" s="26" t="s">
        <v>1</v>
      </c>
      <c r="K292" s="24">
        <v>4.2</v>
      </c>
      <c r="L292" s="26">
        <v>3.1</v>
      </c>
      <c r="M292" s="26">
        <v>169</v>
      </c>
      <c r="N292" s="27" t="s">
        <v>139</v>
      </c>
      <c r="O292" s="28" t="s">
        <v>278</v>
      </c>
    </row>
    <row r="293" spans="1:15" ht="45" x14ac:dyDescent="0.25">
      <c r="A293">
        <v>8638</v>
      </c>
      <c r="B293" s="24">
        <v>13</v>
      </c>
      <c r="C293" s="29" t="s">
        <v>240</v>
      </c>
      <c r="D293">
        <v>2016</v>
      </c>
      <c r="E293" s="24">
        <v>33</v>
      </c>
      <c r="F293" s="25">
        <v>27.35</v>
      </c>
      <c r="G293" s="24">
        <v>15</v>
      </c>
      <c r="H293" s="26">
        <v>6.8712</v>
      </c>
      <c r="I293" s="25">
        <v>28.3232</v>
      </c>
      <c r="J293" s="26" t="s">
        <v>1</v>
      </c>
      <c r="K293" s="24">
        <v>4.2</v>
      </c>
      <c r="L293" s="26"/>
      <c r="M293" s="26">
        <v>1</v>
      </c>
      <c r="N293" s="27" t="s">
        <v>117</v>
      </c>
      <c r="O293" s="28" t="s">
        <v>279</v>
      </c>
    </row>
    <row r="294" spans="1:15" ht="45" x14ac:dyDescent="0.25">
      <c r="A294">
        <v>8639</v>
      </c>
      <c r="B294" s="8">
        <v>14</v>
      </c>
      <c r="C294" s="21" t="s">
        <v>240</v>
      </c>
      <c r="D294">
        <v>2016</v>
      </c>
      <c r="E294" s="8">
        <v>20</v>
      </c>
      <c r="F294" s="9">
        <v>47.11</v>
      </c>
      <c r="G294" s="8">
        <v>9</v>
      </c>
      <c r="H294" s="11">
        <v>6.7495000000000003</v>
      </c>
      <c r="I294" s="9">
        <v>-6.2789000000000001</v>
      </c>
      <c r="J294" s="11" t="s">
        <v>1</v>
      </c>
      <c r="K294" s="8"/>
      <c r="L294" s="39">
        <v>4</v>
      </c>
      <c r="M294" s="11">
        <v>15</v>
      </c>
      <c r="N294" s="12" t="s">
        <v>15</v>
      </c>
      <c r="O294" s="13" t="s">
        <v>280</v>
      </c>
    </row>
    <row r="295" spans="1:15" ht="60" x14ac:dyDescent="0.25">
      <c r="A295">
        <v>8640</v>
      </c>
      <c r="B295" s="24">
        <v>14</v>
      </c>
      <c r="C295" s="29" t="s">
        <v>240</v>
      </c>
      <c r="D295">
        <v>2016</v>
      </c>
      <c r="E295" s="24">
        <v>43</v>
      </c>
      <c r="F295" s="25">
        <v>26.41</v>
      </c>
      <c r="G295" s="24">
        <v>19</v>
      </c>
      <c r="H295" s="26">
        <v>-29.141300000000001</v>
      </c>
      <c r="I295" s="25">
        <v>29.6205</v>
      </c>
      <c r="J295" s="26" t="s">
        <v>1</v>
      </c>
      <c r="K295" s="24">
        <v>4.2</v>
      </c>
      <c r="L295" s="26"/>
      <c r="M295" s="26">
        <v>17</v>
      </c>
      <c r="N295" s="27" t="s">
        <v>6</v>
      </c>
      <c r="O295" s="28" t="s">
        <v>281</v>
      </c>
    </row>
    <row r="296" spans="1:15" ht="45" x14ac:dyDescent="0.25">
      <c r="A296">
        <v>8641</v>
      </c>
      <c r="B296" s="24">
        <v>15</v>
      </c>
      <c r="C296" s="29" t="s">
        <v>240</v>
      </c>
      <c r="D296">
        <v>2016</v>
      </c>
      <c r="E296" s="24">
        <v>10</v>
      </c>
      <c r="F296" s="25">
        <v>57.09</v>
      </c>
      <c r="G296" s="24">
        <v>3</v>
      </c>
      <c r="H296" s="26">
        <v>29.2834</v>
      </c>
      <c r="I296" s="25">
        <v>29.581700000000001</v>
      </c>
      <c r="J296" s="26" t="s">
        <v>1</v>
      </c>
      <c r="K296" s="36">
        <v>4</v>
      </c>
      <c r="L296" s="26">
        <v>3.4</v>
      </c>
      <c r="M296" s="26">
        <v>177</v>
      </c>
      <c r="N296" s="27" t="s">
        <v>72</v>
      </c>
      <c r="O296" s="28" t="s">
        <v>282</v>
      </c>
    </row>
    <row r="297" spans="1:15" ht="45" x14ac:dyDescent="0.25">
      <c r="A297">
        <v>8642</v>
      </c>
      <c r="B297" s="24">
        <v>15</v>
      </c>
      <c r="C297" s="29" t="s">
        <v>240</v>
      </c>
      <c r="D297">
        <v>2016</v>
      </c>
      <c r="E297" s="24">
        <v>52</v>
      </c>
      <c r="F297" s="25">
        <v>43.24</v>
      </c>
      <c r="G297" s="24">
        <v>11</v>
      </c>
      <c r="H297" s="26">
        <v>35.095100000000002</v>
      </c>
      <c r="I297" s="25">
        <v>6.2881</v>
      </c>
      <c r="J297" s="26" t="s">
        <v>1</v>
      </c>
      <c r="K297" s="24">
        <v>3.8</v>
      </c>
      <c r="L297" s="26"/>
      <c r="M297" s="26">
        <v>173</v>
      </c>
      <c r="N297" s="27" t="s">
        <v>10</v>
      </c>
      <c r="O297" s="28" t="s">
        <v>283</v>
      </c>
    </row>
    <row r="298" spans="1:15" ht="60" x14ac:dyDescent="0.25">
      <c r="A298">
        <v>8643</v>
      </c>
      <c r="B298" s="24">
        <v>15</v>
      </c>
      <c r="C298" s="29" t="s">
        <v>240</v>
      </c>
      <c r="D298">
        <v>2016</v>
      </c>
      <c r="E298" s="24">
        <v>37</v>
      </c>
      <c r="F298" s="25">
        <v>36.51</v>
      </c>
      <c r="G298" s="24">
        <v>13</v>
      </c>
      <c r="H298" s="26">
        <v>-28.3904</v>
      </c>
      <c r="I298" s="25">
        <v>25.2865</v>
      </c>
      <c r="J298" s="26" t="s">
        <v>1</v>
      </c>
      <c r="K298" s="24">
        <v>4.3</v>
      </c>
      <c r="L298" s="26"/>
      <c r="M298" s="26">
        <v>8</v>
      </c>
      <c r="N298" s="27" t="s">
        <v>6</v>
      </c>
      <c r="O298" s="28" t="s">
        <v>30</v>
      </c>
    </row>
    <row r="299" spans="1:15" ht="60" x14ac:dyDescent="0.25">
      <c r="A299">
        <v>8644</v>
      </c>
      <c r="B299" s="24">
        <v>16</v>
      </c>
      <c r="C299" s="29" t="s">
        <v>240</v>
      </c>
      <c r="D299">
        <v>2016</v>
      </c>
      <c r="E299" s="24">
        <v>56</v>
      </c>
      <c r="F299" s="25">
        <v>52.28</v>
      </c>
      <c r="G299" s="24">
        <v>12</v>
      </c>
      <c r="H299" s="26">
        <v>-28.297799999999999</v>
      </c>
      <c r="I299" s="25">
        <v>24.282900000000001</v>
      </c>
      <c r="J299" s="26" t="s">
        <v>1</v>
      </c>
      <c r="K299" s="24">
        <v>4</v>
      </c>
      <c r="L299" s="26"/>
      <c r="M299" s="26">
        <v>12</v>
      </c>
      <c r="N299" s="27" t="s">
        <v>6</v>
      </c>
      <c r="O299" s="28" t="s">
        <v>263</v>
      </c>
    </row>
    <row r="300" spans="1:15" ht="60" x14ac:dyDescent="0.25">
      <c r="A300">
        <v>8645</v>
      </c>
      <c r="B300" s="24">
        <v>16</v>
      </c>
      <c r="C300" s="29" t="s">
        <v>240</v>
      </c>
      <c r="D300">
        <v>2016</v>
      </c>
      <c r="E300" s="24">
        <v>22</v>
      </c>
      <c r="F300" s="25">
        <v>27.32</v>
      </c>
      <c r="G300" s="24">
        <v>22</v>
      </c>
      <c r="H300" s="26">
        <v>-22.4419</v>
      </c>
      <c r="I300" s="25">
        <v>38.574100000000001</v>
      </c>
      <c r="J300" s="26" t="s">
        <v>1</v>
      </c>
      <c r="K300" s="24">
        <v>4.0999999999999996</v>
      </c>
      <c r="L300" s="26">
        <v>3.8</v>
      </c>
      <c r="M300" s="26">
        <v>71</v>
      </c>
      <c r="N300" s="27" t="s">
        <v>75</v>
      </c>
      <c r="O300" s="28" t="s">
        <v>284</v>
      </c>
    </row>
    <row r="301" spans="1:15" ht="30" x14ac:dyDescent="0.25">
      <c r="A301">
        <v>8646</v>
      </c>
      <c r="B301" s="24">
        <v>17</v>
      </c>
      <c r="C301" s="29" t="s">
        <v>240</v>
      </c>
      <c r="D301">
        <v>2016</v>
      </c>
      <c r="E301" s="24">
        <v>33</v>
      </c>
      <c r="F301" s="25">
        <v>59.23</v>
      </c>
      <c r="G301" s="24">
        <v>7</v>
      </c>
      <c r="H301" s="26">
        <v>35.145899999999997</v>
      </c>
      <c r="I301" s="25">
        <v>10.7196</v>
      </c>
      <c r="J301" s="26" t="s">
        <v>1</v>
      </c>
      <c r="K301" s="24">
        <v>3.6</v>
      </c>
      <c r="L301" s="26">
        <v>4.2</v>
      </c>
      <c r="M301" s="26">
        <v>105</v>
      </c>
      <c r="N301" s="27" t="s">
        <v>2</v>
      </c>
      <c r="O301" s="28" t="s">
        <v>285</v>
      </c>
    </row>
    <row r="302" spans="1:15" ht="150" x14ac:dyDescent="0.25">
      <c r="A302">
        <v>8647</v>
      </c>
      <c r="B302" s="24">
        <v>17</v>
      </c>
      <c r="C302" s="29" t="s">
        <v>240</v>
      </c>
      <c r="D302">
        <v>2016</v>
      </c>
      <c r="E302" s="24">
        <v>6</v>
      </c>
      <c r="F302" s="25">
        <v>34.25</v>
      </c>
      <c r="G302" s="24">
        <v>14</v>
      </c>
      <c r="H302" s="26">
        <v>3.8422999999999998</v>
      </c>
      <c r="I302" s="25">
        <v>28.8217</v>
      </c>
      <c r="J302" s="26" t="s">
        <v>1</v>
      </c>
      <c r="K302" s="24">
        <v>3.4</v>
      </c>
      <c r="L302" s="26">
        <v>4.4000000000000004</v>
      </c>
      <c r="M302" s="26">
        <v>57</v>
      </c>
      <c r="N302" s="27" t="s">
        <v>8</v>
      </c>
      <c r="O302" s="28" t="s">
        <v>286</v>
      </c>
    </row>
    <row r="303" spans="1:15" ht="60" x14ac:dyDescent="0.25">
      <c r="A303">
        <v>8648</v>
      </c>
      <c r="B303" s="24">
        <v>17</v>
      </c>
      <c r="C303" s="29" t="s">
        <v>240</v>
      </c>
      <c r="D303">
        <v>2016</v>
      </c>
      <c r="E303" s="24">
        <v>48</v>
      </c>
      <c r="F303" s="25">
        <v>27.4</v>
      </c>
      <c r="G303" s="24">
        <v>14</v>
      </c>
      <c r="H303" s="26">
        <v>23.377199999999998</v>
      </c>
      <c r="I303" s="25">
        <v>1.3661000000000001</v>
      </c>
      <c r="J303" s="26" t="s">
        <v>1</v>
      </c>
      <c r="K303" s="24">
        <v>3.6</v>
      </c>
      <c r="L303" s="26">
        <v>3.8</v>
      </c>
      <c r="M303" s="26">
        <v>113</v>
      </c>
      <c r="N303" s="27" t="s">
        <v>110</v>
      </c>
      <c r="O303" s="28" t="s">
        <v>287</v>
      </c>
    </row>
    <row r="304" spans="1:15" ht="90" x14ac:dyDescent="0.25">
      <c r="A304">
        <v>8649</v>
      </c>
      <c r="B304" s="24">
        <v>18</v>
      </c>
      <c r="C304" s="29" t="s">
        <v>240</v>
      </c>
      <c r="D304">
        <v>2016</v>
      </c>
      <c r="E304" s="41">
        <v>0</v>
      </c>
      <c r="F304" s="25">
        <v>50.03</v>
      </c>
      <c r="G304" s="24">
        <v>9</v>
      </c>
      <c r="H304" s="33">
        <v>2.2869999999999999</v>
      </c>
      <c r="I304" s="25">
        <v>-17.2272</v>
      </c>
      <c r="J304" s="26" t="s">
        <v>1</v>
      </c>
      <c r="K304" s="25">
        <v>3.8</v>
      </c>
      <c r="L304" s="25">
        <v>4.7</v>
      </c>
      <c r="M304" s="26">
        <v>169</v>
      </c>
      <c r="N304" s="27" t="s">
        <v>154</v>
      </c>
      <c r="O304" s="28" t="s">
        <v>233</v>
      </c>
    </row>
    <row r="305" spans="1:15" ht="45" x14ac:dyDescent="0.25">
      <c r="A305">
        <v>8650</v>
      </c>
      <c r="B305" s="8">
        <v>19</v>
      </c>
      <c r="C305" s="29" t="s">
        <v>240</v>
      </c>
      <c r="D305">
        <v>2016</v>
      </c>
      <c r="E305" s="8">
        <v>45</v>
      </c>
      <c r="F305" s="9">
        <v>50.45</v>
      </c>
      <c r="G305" s="8">
        <v>8</v>
      </c>
      <c r="H305" s="11">
        <v>6.6406000000000001</v>
      </c>
      <c r="I305" s="9">
        <v>-4.8365</v>
      </c>
      <c r="J305" s="11" t="s">
        <v>1</v>
      </c>
      <c r="K305" s="9">
        <v>4.3</v>
      </c>
      <c r="L305" s="9"/>
      <c r="M305" s="11">
        <v>146</v>
      </c>
      <c r="N305" s="12" t="s">
        <v>15</v>
      </c>
      <c r="O305" s="28" t="s">
        <v>288</v>
      </c>
    </row>
    <row r="306" spans="1:15" ht="45" x14ac:dyDescent="0.25">
      <c r="A306">
        <v>8651</v>
      </c>
      <c r="B306" s="24">
        <v>20</v>
      </c>
      <c r="C306" s="29" t="s">
        <v>240</v>
      </c>
      <c r="D306">
        <v>2016</v>
      </c>
      <c r="E306" s="24">
        <v>19</v>
      </c>
      <c r="F306" s="25">
        <v>28.73</v>
      </c>
      <c r="G306" s="24">
        <v>0</v>
      </c>
      <c r="H306" s="26">
        <v>0.26690000000000003</v>
      </c>
      <c r="I306" s="25">
        <v>37.435699999999997</v>
      </c>
      <c r="J306" s="26" t="s">
        <v>1</v>
      </c>
      <c r="K306" s="25">
        <v>4.3</v>
      </c>
      <c r="L306" s="25"/>
      <c r="M306" s="26">
        <v>91</v>
      </c>
      <c r="N306" s="27" t="s">
        <v>13</v>
      </c>
      <c r="O306" s="28" t="s">
        <v>226</v>
      </c>
    </row>
    <row r="307" spans="1:15" ht="60" x14ac:dyDescent="0.25">
      <c r="A307">
        <v>8652</v>
      </c>
      <c r="B307" s="24">
        <v>20</v>
      </c>
      <c r="C307" s="29" t="s">
        <v>240</v>
      </c>
      <c r="D307">
        <v>2016</v>
      </c>
      <c r="E307" s="24">
        <v>14</v>
      </c>
      <c r="F307" s="25">
        <v>48.05</v>
      </c>
      <c r="G307" s="24">
        <v>1</v>
      </c>
      <c r="H307" s="26">
        <v>-3.1355</v>
      </c>
      <c r="I307" s="37">
        <v>13.983000000000001</v>
      </c>
      <c r="J307" s="26" t="s">
        <v>1</v>
      </c>
      <c r="K307" s="25">
        <v>3.7</v>
      </c>
      <c r="L307" s="25"/>
      <c r="M307" s="26">
        <v>80</v>
      </c>
      <c r="N307" s="27" t="s">
        <v>289</v>
      </c>
      <c r="O307" s="28" t="s">
        <v>290</v>
      </c>
    </row>
    <row r="308" spans="1:15" ht="45" x14ac:dyDescent="0.25">
      <c r="A308">
        <v>8653</v>
      </c>
      <c r="B308" s="8">
        <v>20</v>
      </c>
      <c r="C308" s="29" t="s">
        <v>240</v>
      </c>
      <c r="D308">
        <v>2016</v>
      </c>
      <c r="E308" s="8">
        <v>10</v>
      </c>
      <c r="F308" s="9">
        <v>49.42</v>
      </c>
      <c r="G308" s="8">
        <v>10</v>
      </c>
      <c r="H308" s="11">
        <v>22.783000000000001</v>
      </c>
      <c r="I308" s="9">
        <v>-12.434200000000001</v>
      </c>
      <c r="J308" s="11" t="s">
        <v>1</v>
      </c>
      <c r="K308" s="9">
        <v>4.0999999999999996</v>
      </c>
      <c r="L308" s="9">
        <v>3.8</v>
      </c>
      <c r="M308" s="11">
        <v>126</v>
      </c>
      <c r="N308" s="12" t="s">
        <v>15</v>
      </c>
      <c r="O308" s="28" t="s">
        <v>172</v>
      </c>
    </row>
    <row r="309" spans="1:15" ht="45" x14ac:dyDescent="0.25">
      <c r="A309">
        <v>8654</v>
      </c>
      <c r="B309" s="24">
        <v>20</v>
      </c>
      <c r="C309" s="29" t="s">
        <v>240</v>
      </c>
      <c r="D309">
        <v>2016</v>
      </c>
      <c r="E309" s="24">
        <v>40</v>
      </c>
      <c r="F309" s="25">
        <v>0.32</v>
      </c>
      <c r="G309" s="24">
        <v>16</v>
      </c>
      <c r="H309" s="26">
        <v>-28.183700000000002</v>
      </c>
      <c r="I309" s="25">
        <v>16.370799999999999</v>
      </c>
      <c r="J309" s="26" t="s">
        <v>1</v>
      </c>
      <c r="K309" s="25">
        <v>4.0999999999999996</v>
      </c>
      <c r="L309" s="25"/>
      <c r="M309" s="26">
        <v>97</v>
      </c>
      <c r="N309" s="27" t="s">
        <v>291</v>
      </c>
      <c r="O309" s="28" t="s">
        <v>292</v>
      </c>
    </row>
    <row r="310" spans="1:15" ht="105" x14ac:dyDescent="0.25">
      <c r="A310">
        <v>8655</v>
      </c>
      <c r="B310" s="24">
        <v>21</v>
      </c>
      <c r="C310" s="29" t="s">
        <v>240</v>
      </c>
      <c r="D310">
        <v>2016</v>
      </c>
      <c r="E310" s="24">
        <v>9</v>
      </c>
      <c r="F310" s="25">
        <v>45.18</v>
      </c>
      <c r="G310" s="24">
        <v>3</v>
      </c>
      <c r="H310" s="26">
        <v>-21.597300000000001</v>
      </c>
      <c r="I310" s="25">
        <v>33.377600000000001</v>
      </c>
      <c r="J310" s="26" t="s">
        <v>1</v>
      </c>
      <c r="K310" s="25">
        <v>4</v>
      </c>
      <c r="L310" s="25">
        <v>4.3</v>
      </c>
      <c r="M310" s="26">
        <v>123</v>
      </c>
      <c r="N310" s="27" t="s">
        <v>26</v>
      </c>
      <c r="O310" s="28" t="s">
        <v>293</v>
      </c>
    </row>
    <row r="311" spans="1:15" ht="45" x14ac:dyDescent="0.25">
      <c r="A311">
        <v>8656</v>
      </c>
      <c r="B311" s="8">
        <v>21</v>
      </c>
      <c r="C311" s="29" t="s">
        <v>240</v>
      </c>
      <c r="D311">
        <v>2016</v>
      </c>
      <c r="E311" s="8">
        <v>35</v>
      </c>
      <c r="F311" s="9">
        <v>11.42</v>
      </c>
      <c r="G311" s="8">
        <v>17</v>
      </c>
      <c r="H311" s="11">
        <v>16.373000000000001</v>
      </c>
      <c r="I311" s="9">
        <v>-1.3203</v>
      </c>
      <c r="J311" s="11" t="s">
        <v>1</v>
      </c>
      <c r="K311" s="9">
        <v>4.2</v>
      </c>
      <c r="L311" s="9">
        <v>3.3</v>
      </c>
      <c r="M311" s="11">
        <v>116</v>
      </c>
      <c r="N311" s="12" t="s">
        <v>15</v>
      </c>
      <c r="O311" s="28" t="s">
        <v>294</v>
      </c>
    </row>
    <row r="312" spans="1:15" ht="60" x14ac:dyDescent="0.25">
      <c r="A312">
        <v>8657</v>
      </c>
      <c r="B312" s="24">
        <v>21</v>
      </c>
      <c r="C312" s="29" t="s">
        <v>240</v>
      </c>
      <c r="D312">
        <v>2016</v>
      </c>
      <c r="E312" s="24">
        <v>49</v>
      </c>
      <c r="F312" s="25">
        <v>2.34</v>
      </c>
      <c r="G312" s="24">
        <v>18</v>
      </c>
      <c r="H312" s="26">
        <v>27.506399999999999</v>
      </c>
      <c r="I312" s="25">
        <v>20.078399999999998</v>
      </c>
      <c r="J312" s="26" t="s">
        <v>1</v>
      </c>
      <c r="K312" s="25">
        <v>4.4000000000000004</v>
      </c>
      <c r="L312" s="25"/>
      <c r="M312" s="26">
        <v>119</v>
      </c>
      <c r="N312" s="27" t="s">
        <v>48</v>
      </c>
      <c r="O312" s="28" t="s">
        <v>185</v>
      </c>
    </row>
    <row r="313" spans="1:15" ht="60" x14ac:dyDescent="0.25">
      <c r="A313">
        <v>8658</v>
      </c>
      <c r="B313" s="8">
        <v>21</v>
      </c>
      <c r="C313" s="29" t="s">
        <v>240</v>
      </c>
      <c r="D313">
        <v>2016</v>
      </c>
      <c r="E313" s="8">
        <v>30</v>
      </c>
      <c r="F313" s="9">
        <v>30.86</v>
      </c>
      <c r="G313" s="8">
        <v>19</v>
      </c>
      <c r="H313" s="11">
        <v>5.2488999999999999</v>
      </c>
      <c r="I313" s="9">
        <v>-12.1006</v>
      </c>
      <c r="J313" s="11" t="s">
        <v>1</v>
      </c>
      <c r="K313" s="9">
        <v>4.2</v>
      </c>
      <c r="L313" s="9">
        <v>3.4</v>
      </c>
      <c r="M313" s="11">
        <v>154</v>
      </c>
      <c r="N313" s="12" t="s">
        <v>15</v>
      </c>
      <c r="O313" s="28" t="s">
        <v>233</v>
      </c>
    </row>
    <row r="314" spans="1:15" ht="60" x14ac:dyDescent="0.25">
      <c r="A314">
        <v>8659</v>
      </c>
      <c r="B314" s="24">
        <v>22</v>
      </c>
      <c r="C314" s="29" t="s">
        <v>240</v>
      </c>
      <c r="D314">
        <v>2016</v>
      </c>
      <c r="E314" s="24">
        <v>5</v>
      </c>
      <c r="F314" s="25">
        <v>6.14</v>
      </c>
      <c r="G314" s="24">
        <v>13</v>
      </c>
      <c r="H314" s="33">
        <v>-27.835999999999999</v>
      </c>
      <c r="I314" s="25">
        <v>26.738900000000001</v>
      </c>
      <c r="J314" s="26" t="s">
        <v>1</v>
      </c>
      <c r="K314" s="25">
        <v>4.0999999999999996</v>
      </c>
      <c r="L314" s="25"/>
      <c r="M314" s="26">
        <v>146</v>
      </c>
      <c r="N314" s="27" t="s">
        <v>6</v>
      </c>
      <c r="O314" s="28" t="s">
        <v>295</v>
      </c>
    </row>
    <row r="315" spans="1:15" ht="60" x14ac:dyDescent="0.25">
      <c r="A315">
        <v>8660</v>
      </c>
      <c r="B315" s="24">
        <v>22</v>
      </c>
      <c r="C315" s="29" t="s">
        <v>240</v>
      </c>
      <c r="D315">
        <v>2016</v>
      </c>
      <c r="E315" s="24">
        <v>6</v>
      </c>
      <c r="F315" s="25">
        <v>13.44</v>
      </c>
      <c r="G315" s="24">
        <v>20</v>
      </c>
      <c r="H315" s="26">
        <v>-20.9663</v>
      </c>
      <c r="I315" s="25">
        <v>33.5989</v>
      </c>
      <c r="J315" s="26" t="s">
        <v>1</v>
      </c>
      <c r="K315" s="25">
        <v>4.8</v>
      </c>
      <c r="L315" s="25">
        <v>5.3</v>
      </c>
      <c r="M315" s="26">
        <v>94</v>
      </c>
      <c r="N315" s="27" t="s">
        <v>26</v>
      </c>
      <c r="O315" s="28" t="s">
        <v>296</v>
      </c>
    </row>
    <row r="316" spans="1:15" ht="105" x14ac:dyDescent="0.25">
      <c r="A316">
        <v>8661</v>
      </c>
      <c r="B316" s="24">
        <v>22</v>
      </c>
      <c r="C316" s="29" t="s">
        <v>240</v>
      </c>
      <c r="D316">
        <v>2016</v>
      </c>
      <c r="E316" s="24">
        <v>6</v>
      </c>
      <c r="F316" s="25">
        <v>14.08</v>
      </c>
      <c r="G316" s="24">
        <v>20</v>
      </c>
      <c r="H316" s="26">
        <v>-21.803699999999999</v>
      </c>
      <c r="I316" s="37">
        <v>33.509</v>
      </c>
      <c r="J316" s="26" t="s">
        <v>1</v>
      </c>
      <c r="K316" s="25">
        <v>5.0999999999999996</v>
      </c>
      <c r="L316" s="25">
        <v>5.3</v>
      </c>
      <c r="M316" s="26">
        <v>159</v>
      </c>
      <c r="N316" s="27" t="s">
        <v>26</v>
      </c>
      <c r="O316" s="28" t="s">
        <v>293</v>
      </c>
    </row>
    <row r="317" spans="1:15" ht="60" x14ac:dyDescent="0.25">
      <c r="A317">
        <v>8662</v>
      </c>
      <c r="B317" s="24">
        <v>22</v>
      </c>
      <c r="C317" s="29" t="s">
        <v>240</v>
      </c>
      <c r="D317">
        <v>2016</v>
      </c>
      <c r="E317" s="24">
        <v>11</v>
      </c>
      <c r="F317" s="25">
        <v>5.77</v>
      </c>
      <c r="G317" s="24">
        <v>20</v>
      </c>
      <c r="H317" s="26">
        <v>-27.454000000000001</v>
      </c>
      <c r="I317" s="25">
        <v>24.456600000000002</v>
      </c>
      <c r="J317" s="26" t="s">
        <v>1</v>
      </c>
      <c r="K317" s="25">
        <v>4.3</v>
      </c>
      <c r="L317" s="25"/>
      <c r="M317" s="26">
        <v>58</v>
      </c>
      <c r="N317" s="27" t="s">
        <v>6</v>
      </c>
      <c r="O317" s="28" t="s">
        <v>297</v>
      </c>
    </row>
    <row r="318" spans="1:15" ht="75" x14ac:dyDescent="0.25">
      <c r="A318">
        <v>8663</v>
      </c>
      <c r="B318" s="24">
        <v>22</v>
      </c>
      <c r="C318" s="29" t="s">
        <v>240</v>
      </c>
      <c r="D318">
        <v>2016</v>
      </c>
      <c r="E318" s="24">
        <v>35</v>
      </c>
      <c r="F318" s="25">
        <v>0.94</v>
      </c>
      <c r="G318" s="24">
        <v>20</v>
      </c>
      <c r="H318" s="33">
        <v>-21.57</v>
      </c>
      <c r="I318" s="25">
        <v>31.001300000000001</v>
      </c>
      <c r="J318" s="26" t="s">
        <v>1</v>
      </c>
      <c r="K318" s="25">
        <v>4.3</v>
      </c>
      <c r="L318" s="25">
        <v>3.4</v>
      </c>
      <c r="M318" s="26">
        <v>114</v>
      </c>
      <c r="N318" s="27" t="s">
        <v>237</v>
      </c>
      <c r="O318" s="28" t="s">
        <v>298</v>
      </c>
    </row>
    <row r="319" spans="1:15" ht="60" x14ac:dyDescent="0.25">
      <c r="A319">
        <v>8664</v>
      </c>
      <c r="B319" s="24">
        <v>23</v>
      </c>
      <c r="C319" s="29" t="s">
        <v>240</v>
      </c>
      <c r="D319">
        <v>2016</v>
      </c>
      <c r="E319" s="24">
        <v>4</v>
      </c>
      <c r="F319" s="25">
        <v>14.02</v>
      </c>
      <c r="G319" s="24">
        <v>16</v>
      </c>
      <c r="H319" s="26">
        <v>31.182500000000001</v>
      </c>
      <c r="I319" s="25">
        <v>21.599599999999999</v>
      </c>
      <c r="J319" s="26" t="s">
        <v>1</v>
      </c>
      <c r="K319" s="25">
        <v>3.8</v>
      </c>
      <c r="L319" s="25">
        <v>3.6</v>
      </c>
      <c r="M319" s="26">
        <v>69</v>
      </c>
      <c r="N319" s="27" t="s">
        <v>135</v>
      </c>
      <c r="O319" s="28" t="s">
        <v>185</v>
      </c>
    </row>
    <row r="320" spans="1:15" ht="45" x14ac:dyDescent="0.25">
      <c r="A320">
        <v>8665</v>
      </c>
      <c r="B320" s="24">
        <v>23</v>
      </c>
      <c r="C320" s="29" t="s">
        <v>240</v>
      </c>
      <c r="D320">
        <v>2016</v>
      </c>
      <c r="E320" s="24">
        <v>13</v>
      </c>
      <c r="F320" s="25">
        <v>38.729999999999997</v>
      </c>
      <c r="G320" s="24">
        <v>16</v>
      </c>
      <c r="H320" s="26">
        <v>-2.0196999999999998</v>
      </c>
      <c r="I320" s="25">
        <v>36.3889</v>
      </c>
      <c r="J320" s="26" t="s">
        <v>1</v>
      </c>
      <c r="K320" s="25">
        <v>4.4000000000000004</v>
      </c>
      <c r="L320" s="25"/>
      <c r="M320" s="26">
        <v>138</v>
      </c>
      <c r="N320" s="27" t="s">
        <v>96</v>
      </c>
      <c r="O320" s="28" t="s">
        <v>228</v>
      </c>
    </row>
    <row r="321" spans="1:15" ht="60" x14ac:dyDescent="0.25">
      <c r="A321">
        <v>8666</v>
      </c>
      <c r="B321" s="24">
        <v>24</v>
      </c>
      <c r="C321" s="29" t="s">
        <v>240</v>
      </c>
      <c r="D321">
        <v>2016</v>
      </c>
      <c r="E321" s="24">
        <v>25</v>
      </c>
      <c r="F321" s="40">
        <v>7.5</v>
      </c>
      <c r="G321" s="24">
        <v>3</v>
      </c>
      <c r="H321" s="26">
        <v>-1.2432000000000001</v>
      </c>
      <c r="I321" s="25">
        <v>39.143900000000002</v>
      </c>
      <c r="J321" s="26" t="s">
        <v>1</v>
      </c>
      <c r="K321" s="25">
        <v>3.7</v>
      </c>
      <c r="L321" s="25"/>
      <c r="M321" s="26">
        <v>167</v>
      </c>
      <c r="N321" s="27" t="s">
        <v>13</v>
      </c>
      <c r="O321" s="28" t="s">
        <v>220</v>
      </c>
    </row>
    <row r="322" spans="1:15" ht="45" x14ac:dyDescent="0.25">
      <c r="A322">
        <v>8667</v>
      </c>
      <c r="B322" s="24">
        <v>24</v>
      </c>
      <c r="C322" s="29" t="s">
        <v>240</v>
      </c>
      <c r="D322">
        <v>2016</v>
      </c>
      <c r="E322" s="24">
        <v>20</v>
      </c>
      <c r="F322" s="25">
        <v>2.65</v>
      </c>
      <c r="G322" s="24">
        <v>4</v>
      </c>
      <c r="H322" s="26">
        <v>28.799800000000001</v>
      </c>
      <c r="I322" s="25">
        <v>-1.0402</v>
      </c>
      <c r="J322" s="26" t="s">
        <v>1</v>
      </c>
      <c r="K322" s="25">
        <v>3.9</v>
      </c>
      <c r="L322" s="25">
        <v>2.8</v>
      </c>
      <c r="M322" s="26">
        <v>142</v>
      </c>
      <c r="N322" s="27" t="s">
        <v>10</v>
      </c>
      <c r="O322" s="28" t="s">
        <v>299</v>
      </c>
    </row>
    <row r="323" spans="1:15" ht="45" x14ac:dyDescent="0.25">
      <c r="A323">
        <v>8668</v>
      </c>
      <c r="B323" s="8">
        <v>24</v>
      </c>
      <c r="C323" s="21" t="s">
        <v>240</v>
      </c>
      <c r="D323">
        <v>2016</v>
      </c>
      <c r="E323" s="8">
        <v>20</v>
      </c>
      <c r="F323" s="9">
        <v>46.22</v>
      </c>
      <c r="G323" s="8">
        <v>14</v>
      </c>
      <c r="H323" s="11">
        <v>12.298299999999999</v>
      </c>
      <c r="I323" s="9">
        <v>-2.4752999999999998</v>
      </c>
      <c r="J323" s="11" t="s">
        <v>1</v>
      </c>
      <c r="K323" s="9">
        <v>4.0999999999999996</v>
      </c>
      <c r="L323" s="9">
        <v>2.5</v>
      </c>
      <c r="M323" s="11">
        <v>162</v>
      </c>
      <c r="N323" s="12" t="s">
        <v>15</v>
      </c>
      <c r="O323" s="13" t="s">
        <v>300</v>
      </c>
    </row>
    <row r="324" spans="1:15" ht="90" x14ac:dyDescent="0.25">
      <c r="A324">
        <v>8669</v>
      </c>
      <c r="B324" s="24">
        <v>24</v>
      </c>
      <c r="C324" s="29" t="s">
        <v>240</v>
      </c>
      <c r="D324">
        <v>2016</v>
      </c>
      <c r="E324" s="24">
        <v>29</v>
      </c>
      <c r="F324" s="25">
        <v>27.19</v>
      </c>
      <c r="G324" s="24">
        <v>14</v>
      </c>
      <c r="H324" s="26">
        <v>2.7757999999999998</v>
      </c>
      <c r="I324" s="25">
        <v>6.6761999999999997</v>
      </c>
      <c r="J324" s="26" t="s">
        <v>1</v>
      </c>
      <c r="K324" s="25">
        <v>4</v>
      </c>
      <c r="L324" s="25"/>
      <c r="M324" s="26">
        <v>122</v>
      </c>
      <c r="N324" s="27" t="s">
        <v>154</v>
      </c>
      <c r="O324" s="28" t="s">
        <v>301</v>
      </c>
    </row>
    <row r="325" spans="1:15" ht="105" x14ac:dyDescent="0.25">
      <c r="A325">
        <v>8670</v>
      </c>
      <c r="B325" s="24">
        <v>24</v>
      </c>
      <c r="C325" s="29" t="s">
        <v>240</v>
      </c>
      <c r="D325">
        <v>2016</v>
      </c>
      <c r="E325" s="24">
        <v>24</v>
      </c>
      <c r="F325" s="25">
        <v>9.2200000000000006</v>
      </c>
      <c r="G325" s="24">
        <v>15</v>
      </c>
      <c r="H325" s="26">
        <v>0.39369999999999999</v>
      </c>
      <c r="I325" s="25">
        <v>19.578399999999998</v>
      </c>
      <c r="J325" s="26" t="s">
        <v>1</v>
      </c>
      <c r="K325" s="25">
        <v>4</v>
      </c>
      <c r="L325" s="25"/>
      <c r="M325" s="26">
        <v>86</v>
      </c>
      <c r="N325" s="27" t="s">
        <v>8</v>
      </c>
      <c r="O325" s="28" t="s">
        <v>302</v>
      </c>
    </row>
    <row r="326" spans="1:15" ht="45" x14ac:dyDescent="0.25">
      <c r="A326">
        <v>8671</v>
      </c>
      <c r="B326" s="24">
        <v>24</v>
      </c>
      <c r="C326" s="29" t="s">
        <v>240</v>
      </c>
      <c r="D326">
        <v>2016</v>
      </c>
      <c r="E326" s="24">
        <v>56</v>
      </c>
      <c r="F326" s="25">
        <v>53.55</v>
      </c>
      <c r="G326" s="24">
        <v>21</v>
      </c>
      <c r="H326" s="26">
        <v>32.089500000000001</v>
      </c>
      <c r="I326" s="25">
        <v>11.5237</v>
      </c>
      <c r="J326" s="26" t="s">
        <v>1</v>
      </c>
      <c r="K326" s="25">
        <v>4.3</v>
      </c>
      <c r="L326" s="25"/>
      <c r="M326" s="26">
        <v>19</v>
      </c>
      <c r="N326" s="27" t="s">
        <v>135</v>
      </c>
      <c r="O326" s="28" t="s">
        <v>303</v>
      </c>
    </row>
    <row r="327" spans="1:15" ht="60" x14ac:dyDescent="0.25">
      <c r="A327">
        <v>8672</v>
      </c>
      <c r="B327" s="8">
        <v>24</v>
      </c>
      <c r="C327" s="21" t="s">
        <v>240</v>
      </c>
      <c r="D327">
        <v>2016</v>
      </c>
      <c r="E327" s="8">
        <v>15</v>
      </c>
      <c r="F327" s="9">
        <v>8.66</v>
      </c>
      <c r="G327" s="8">
        <v>22</v>
      </c>
      <c r="H327" s="11">
        <v>12.6021</v>
      </c>
      <c r="I327" s="9">
        <v>-1.4426000000000001</v>
      </c>
      <c r="J327" s="11" t="s">
        <v>1</v>
      </c>
      <c r="K327" s="9"/>
      <c r="L327" s="9">
        <v>2.1</v>
      </c>
      <c r="M327" s="11">
        <v>170</v>
      </c>
      <c r="N327" s="12" t="s">
        <v>15</v>
      </c>
      <c r="O327" s="13" t="s">
        <v>304</v>
      </c>
    </row>
    <row r="328" spans="1:15" ht="60" x14ac:dyDescent="0.25">
      <c r="A328">
        <v>8673</v>
      </c>
      <c r="B328" s="24">
        <v>24</v>
      </c>
      <c r="C328" s="29" t="s">
        <v>240</v>
      </c>
      <c r="D328">
        <v>2016</v>
      </c>
      <c r="E328" s="24">
        <v>27</v>
      </c>
      <c r="F328" s="25">
        <v>40.159999999999997</v>
      </c>
      <c r="G328" s="24">
        <v>22</v>
      </c>
      <c r="H328" s="26">
        <v>-28.222899999999999</v>
      </c>
      <c r="I328" s="25">
        <v>22.5107</v>
      </c>
      <c r="J328" s="26" t="s">
        <v>1</v>
      </c>
      <c r="K328" s="25">
        <v>3.9</v>
      </c>
      <c r="L328" s="25"/>
      <c r="M328" s="26">
        <v>29</v>
      </c>
      <c r="N328" s="27" t="s">
        <v>6</v>
      </c>
      <c r="O328" s="28" t="s">
        <v>239</v>
      </c>
    </row>
    <row r="329" spans="1:15" ht="60" x14ac:dyDescent="0.25">
      <c r="A329">
        <v>8674</v>
      </c>
      <c r="B329" s="24">
        <v>25</v>
      </c>
      <c r="C329" s="29" t="s">
        <v>240</v>
      </c>
      <c r="D329">
        <v>2016</v>
      </c>
      <c r="E329" s="24">
        <v>41</v>
      </c>
      <c r="F329" s="25">
        <v>44.75</v>
      </c>
      <c r="G329" s="24">
        <v>11</v>
      </c>
      <c r="H329" s="26">
        <v>-29.168900000000001</v>
      </c>
      <c r="I329" s="25">
        <v>25.253399999999999</v>
      </c>
      <c r="J329" s="26" t="s">
        <v>1</v>
      </c>
      <c r="K329" s="25">
        <v>3.5</v>
      </c>
      <c r="L329" s="25"/>
      <c r="M329" s="26">
        <v>87</v>
      </c>
      <c r="N329" s="27" t="s">
        <v>6</v>
      </c>
      <c r="O329" s="28" t="s">
        <v>236</v>
      </c>
    </row>
    <row r="330" spans="1:15" ht="105" x14ac:dyDescent="0.25">
      <c r="A330">
        <v>8675</v>
      </c>
      <c r="B330" s="24">
        <v>25</v>
      </c>
      <c r="C330" s="29" t="s">
        <v>240</v>
      </c>
      <c r="D330">
        <v>2016</v>
      </c>
      <c r="E330" s="24">
        <v>27</v>
      </c>
      <c r="F330" s="25">
        <v>21.99</v>
      </c>
      <c r="G330" s="24">
        <v>14</v>
      </c>
      <c r="H330" s="26">
        <v>-21.612300000000001</v>
      </c>
      <c r="I330" s="25">
        <v>33.6004</v>
      </c>
      <c r="J330" s="26" t="s">
        <v>1</v>
      </c>
      <c r="K330" s="25">
        <v>3.8</v>
      </c>
      <c r="L330" s="25">
        <v>4.3</v>
      </c>
      <c r="M330" s="26">
        <v>110</v>
      </c>
      <c r="N330" s="27" t="s">
        <v>26</v>
      </c>
      <c r="O330" s="28" t="s">
        <v>293</v>
      </c>
    </row>
    <row r="331" spans="1:15" ht="60" x14ac:dyDescent="0.25">
      <c r="A331">
        <v>8676</v>
      </c>
      <c r="B331" s="24">
        <v>25</v>
      </c>
      <c r="C331" s="29" t="s">
        <v>240</v>
      </c>
      <c r="D331">
        <v>2016</v>
      </c>
      <c r="E331" s="24">
        <v>22</v>
      </c>
      <c r="F331" s="25">
        <v>7.43</v>
      </c>
      <c r="G331" s="24">
        <v>22</v>
      </c>
      <c r="H331" s="26">
        <v>-0.92989999999999995</v>
      </c>
      <c r="I331" s="25">
        <v>37.401400000000002</v>
      </c>
      <c r="J331" s="26" t="s">
        <v>1</v>
      </c>
      <c r="K331" s="25">
        <v>4.2</v>
      </c>
      <c r="L331" s="25"/>
      <c r="M331" s="26">
        <v>96</v>
      </c>
      <c r="N331" s="27" t="s">
        <v>13</v>
      </c>
      <c r="O331" s="28" t="s">
        <v>182</v>
      </c>
    </row>
    <row r="332" spans="1:15" ht="60" x14ac:dyDescent="0.25">
      <c r="A332">
        <v>8677</v>
      </c>
      <c r="B332" s="24">
        <v>26</v>
      </c>
      <c r="C332" s="29" t="s">
        <v>240</v>
      </c>
      <c r="D332">
        <v>2016</v>
      </c>
      <c r="E332" s="24">
        <v>15</v>
      </c>
      <c r="F332" s="25">
        <v>2.78</v>
      </c>
      <c r="G332" s="24">
        <v>3</v>
      </c>
      <c r="H332" s="26">
        <v>-26.425599999999999</v>
      </c>
      <c r="I332" s="25">
        <v>27.620799999999999</v>
      </c>
      <c r="J332" s="26" t="s">
        <v>1</v>
      </c>
      <c r="K332" s="25">
        <v>3.3</v>
      </c>
      <c r="L332" s="25">
        <v>2.9</v>
      </c>
      <c r="M332" s="26">
        <v>116</v>
      </c>
      <c r="N332" s="27" t="s">
        <v>6</v>
      </c>
      <c r="O332" s="28" t="s">
        <v>305</v>
      </c>
    </row>
    <row r="333" spans="1:15" ht="30" x14ac:dyDescent="0.25">
      <c r="A333">
        <v>8678</v>
      </c>
      <c r="B333" s="24">
        <v>26</v>
      </c>
      <c r="C333" s="29" t="s">
        <v>240</v>
      </c>
      <c r="D333">
        <v>2016</v>
      </c>
      <c r="E333" s="24">
        <v>40</v>
      </c>
      <c r="F333" s="25">
        <v>11.96</v>
      </c>
      <c r="G333" s="24">
        <v>16</v>
      </c>
      <c r="H333" s="26">
        <v>-9.2495999999999992</v>
      </c>
      <c r="I333" s="25">
        <v>16.4405</v>
      </c>
      <c r="J333" s="26" t="s">
        <v>1</v>
      </c>
      <c r="K333" s="25">
        <v>4.2</v>
      </c>
      <c r="L333" s="25"/>
      <c r="M333" s="26">
        <v>138</v>
      </c>
      <c r="N333" s="27" t="s">
        <v>63</v>
      </c>
      <c r="O333" s="28" t="s">
        <v>306</v>
      </c>
    </row>
    <row r="334" spans="1:15" ht="75" x14ac:dyDescent="0.25">
      <c r="A334">
        <v>8679</v>
      </c>
      <c r="B334" s="24">
        <v>26</v>
      </c>
      <c r="C334" s="29" t="s">
        <v>240</v>
      </c>
      <c r="D334">
        <v>2016</v>
      </c>
      <c r="E334" s="24">
        <v>5</v>
      </c>
      <c r="F334" s="25">
        <v>2.06</v>
      </c>
      <c r="G334" s="24">
        <v>21</v>
      </c>
      <c r="H334" s="26">
        <v>25.9587</v>
      </c>
      <c r="I334" s="25">
        <v>31.905899999999999</v>
      </c>
      <c r="J334" s="26" t="s">
        <v>1</v>
      </c>
      <c r="K334" s="25">
        <v>4.0999999999999996</v>
      </c>
      <c r="L334" s="25"/>
      <c r="M334" s="26">
        <v>69</v>
      </c>
      <c r="N334" s="27" t="s">
        <v>72</v>
      </c>
      <c r="O334" s="28" t="s">
        <v>307</v>
      </c>
    </row>
    <row r="335" spans="1:15" ht="45" x14ac:dyDescent="0.25">
      <c r="A335">
        <v>8680</v>
      </c>
      <c r="B335" s="8">
        <v>26</v>
      </c>
      <c r="C335" s="21" t="s">
        <v>240</v>
      </c>
      <c r="D335">
        <v>2016</v>
      </c>
      <c r="E335" s="8">
        <v>15</v>
      </c>
      <c r="F335" s="9">
        <v>54.66</v>
      </c>
      <c r="G335" s="8">
        <v>22</v>
      </c>
      <c r="H335" s="11">
        <v>12.757199999999999</v>
      </c>
      <c r="I335" s="9">
        <v>1.3472999999999999</v>
      </c>
      <c r="J335" s="11" t="s">
        <v>1</v>
      </c>
      <c r="K335" s="9">
        <v>4.3</v>
      </c>
      <c r="L335" s="9"/>
      <c r="M335" s="11">
        <v>129</v>
      </c>
      <c r="N335" s="12" t="s">
        <v>15</v>
      </c>
      <c r="O335" s="13" t="s">
        <v>308</v>
      </c>
    </row>
    <row r="336" spans="1:15" ht="60" x14ac:dyDescent="0.25">
      <c r="A336">
        <v>8681</v>
      </c>
      <c r="B336" s="24">
        <v>27</v>
      </c>
      <c r="C336" s="29" t="s">
        <v>240</v>
      </c>
      <c r="D336">
        <v>2016</v>
      </c>
      <c r="E336" s="24">
        <v>45</v>
      </c>
      <c r="F336" s="25">
        <v>56.59</v>
      </c>
      <c r="G336" s="24">
        <v>4</v>
      </c>
      <c r="H336" s="26">
        <v>34.658999999999999</v>
      </c>
      <c r="I336" s="25">
        <v>6.9683999999999999</v>
      </c>
      <c r="J336" s="26" t="s">
        <v>1</v>
      </c>
      <c r="K336" s="25">
        <v>3.9</v>
      </c>
      <c r="L336" s="25"/>
      <c r="M336" s="26">
        <v>142</v>
      </c>
      <c r="N336" s="27" t="s">
        <v>10</v>
      </c>
      <c r="O336" s="28" t="s">
        <v>309</v>
      </c>
    </row>
    <row r="337" spans="1:15" ht="45" x14ac:dyDescent="0.25">
      <c r="A337">
        <v>8682</v>
      </c>
      <c r="B337" s="24">
        <v>28</v>
      </c>
      <c r="C337" s="29" t="s">
        <v>240</v>
      </c>
      <c r="D337">
        <v>2016</v>
      </c>
      <c r="E337" s="24">
        <v>17</v>
      </c>
      <c r="F337" s="25">
        <v>10.16</v>
      </c>
      <c r="G337" s="24">
        <v>7</v>
      </c>
      <c r="H337" s="26">
        <v>32.938600000000001</v>
      </c>
      <c r="I337" s="25">
        <v>19.3093</v>
      </c>
      <c r="J337" s="26" t="s">
        <v>1</v>
      </c>
      <c r="K337" s="25">
        <v>4</v>
      </c>
      <c r="L337" s="25">
        <v>4.8</v>
      </c>
      <c r="M337" s="26">
        <v>159</v>
      </c>
      <c r="N337" s="27" t="s">
        <v>135</v>
      </c>
      <c r="O337" s="28" t="s">
        <v>310</v>
      </c>
    </row>
    <row r="338" spans="1:15" ht="60" x14ac:dyDescent="0.25">
      <c r="A338">
        <v>8683</v>
      </c>
      <c r="B338" s="8">
        <v>29</v>
      </c>
      <c r="C338" s="21" t="s">
        <v>240</v>
      </c>
      <c r="D338">
        <v>2016</v>
      </c>
      <c r="E338" s="8">
        <v>54</v>
      </c>
      <c r="F338" s="9">
        <v>5.96</v>
      </c>
      <c r="G338" s="8">
        <v>1</v>
      </c>
      <c r="H338" s="11">
        <v>5.3011999999999997</v>
      </c>
      <c r="I338" s="9">
        <v>-5.0876000000000001</v>
      </c>
      <c r="J338" s="11" t="s">
        <v>1</v>
      </c>
      <c r="K338" s="9">
        <v>4</v>
      </c>
      <c r="L338" s="9"/>
      <c r="M338" s="11">
        <v>119</v>
      </c>
      <c r="N338" s="12" t="s">
        <v>15</v>
      </c>
      <c r="O338" s="13" t="s">
        <v>311</v>
      </c>
    </row>
    <row r="339" spans="1:15" ht="60" x14ac:dyDescent="0.25">
      <c r="A339">
        <v>8684</v>
      </c>
      <c r="B339" s="24">
        <v>29</v>
      </c>
      <c r="C339" s="29" t="s">
        <v>240</v>
      </c>
      <c r="D339">
        <v>2016</v>
      </c>
      <c r="E339" s="24">
        <v>14</v>
      </c>
      <c r="F339" s="25">
        <v>48.02</v>
      </c>
      <c r="G339" s="24">
        <v>17</v>
      </c>
      <c r="H339" s="26">
        <v>-27.542899999999999</v>
      </c>
      <c r="I339" s="25">
        <v>20.126799999999999</v>
      </c>
      <c r="J339" s="26" t="s">
        <v>1</v>
      </c>
      <c r="K339" s="25">
        <v>4.2</v>
      </c>
      <c r="L339" s="25">
        <v>2.9</v>
      </c>
      <c r="M339" s="26">
        <v>24</v>
      </c>
      <c r="N339" s="27" t="s">
        <v>6</v>
      </c>
      <c r="O339" s="28" t="s">
        <v>312</v>
      </c>
    </row>
    <row r="340" spans="1:15" ht="45" x14ac:dyDescent="0.25">
      <c r="A340">
        <v>8685</v>
      </c>
      <c r="B340" s="8">
        <v>30</v>
      </c>
      <c r="C340" s="21" t="s">
        <v>240</v>
      </c>
      <c r="D340">
        <v>2016</v>
      </c>
      <c r="E340" s="8">
        <v>55</v>
      </c>
      <c r="F340" s="9">
        <v>59.25</v>
      </c>
      <c r="G340" s="8">
        <v>8</v>
      </c>
      <c r="H340" s="11">
        <v>17.657499999999999</v>
      </c>
      <c r="I340" s="9">
        <v>0.66290000000000004</v>
      </c>
      <c r="J340" s="11" t="s">
        <v>1</v>
      </c>
      <c r="K340" s="9">
        <v>4.2</v>
      </c>
      <c r="L340" s="9">
        <v>2.8</v>
      </c>
      <c r="M340" s="11">
        <v>99</v>
      </c>
      <c r="N340" s="12" t="s">
        <v>15</v>
      </c>
      <c r="O340" s="13" t="s">
        <v>313</v>
      </c>
    </row>
    <row r="341" spans="1:15" ht="45" x14ac:dyDescent="0.25">
      <c r="A341">
        <v>8686</v>
      </c>
      <c r="B341" s="24">
        <v>1</v>
      </c>
      <c r="C341" s="29" t="s">
        <v>314</v>
      </c>
      <c r="D341">
        <v>2016</v>
      </c>
      <c r="E341" s="24">
        <v>15</v>
      </c>
      <c r="F341" s="25">
        <v>21.47</v>
      </c>
      <c r="G341" s="24">
        <v>4</v>
      </c>
      <c r="H341" s="26">
        <v>33.385399999999997</v>
      </c>
      <c r="I341" s="25">
        <v>6.5860000000000003</v>
      </c>
      <c r="J341" s="26" t="s">
        <v>315</v>
      </c>
      <c r="K341" s="24">
        <v>3.4</v>
      </c>
      <c r="L341" s="26">
        <v>3.7</v>
      </c>
      <c r="M341" s="26">
        <v>157</v>
      </c>
      <c r="N341" s="27" t="s">
        <v>10</v>
      </c>
      <c r="O341" s="28" t="s">
        <v>316</v>
      </c>
    </row>
    <row r="342" spans="1:15" ht="45" x14ac:dyDescent="0.25">
      <c r="A342">
        <v>8687</v>
      </c>
      <c r="B342" s="24">
        <v>1</v>
      </c>
      <c r="C342" s="29" t="s">
        <v>314</v>
      </c>
      <c r="D342">
        <v>2016</v>
      </c>
      <c r="E342" s="24">
        <v>15</v>
      </c>
      <c r="F342" s="25">
        <v>32.17</v>
      </c>
      <c r="G342" s="24">
        <v>5</v>
      </c>
      <c r="H342" s="26">
        <v>32.820700000000002</v>
      </c>
      <c r="I342" s="25">
        <v>1.9020999999999999</v>
      </c>
      <c r="J342" s="26" t="s">
        <v>315</v>
      </c>
      <c r="K342" s="24">
        <v>4.2</v>
      </c>
      <c r="L342" s="26">
        <v>3.5</v>
      </c>
      <c r="M342" s="26">
        <v>68</v>
      </c>
      <c r="N342" s="27" t="s">
        <v>10</v>
      </c>
      <c r="O342" s="28" t="s">
        <v>255</v>
      </c>
    </row>
    <row r="343" spans="1:15" ht="105" x14ac:dyDescent="0.25">
      <c r="A343">
        <v>8688</v>
      </c>
      <c r="B343" s="24">
        <v>1</v>
      </c>
      <c r="C343" s="29" t="s">
        <v>314</v>
      </c>
      <c r="D343">
        <v>2016</v>
      </c>
      <c r="E343" s="24">
        <v>57</v>
      </c>
      <c r="F343" s="25">
        <v>6.71</v>
      </c>
      <c r="G343" s="24">
        <v>9</v>
      </c>
      <c r="H343" s="26">
        <v>-2.0249000000000001</v>
      </c>
      <c r="I343" s="25">
        <v>26.885100000000001</v>
      </c>
      <c r="J343" s="26">
        <v>124.7</v>
      </c>
      <c r="K343" s="24">
        <v>3.6</v>
      </c>
      <c r="L343" s="26">
        <v>4.0999999999999996</v>
      </c>
      <c r="M343" s="26">
        <v>131</v>
      </c>
      <c r="N343" s="27" t="s">
        <v>8</v>
      </c>
      <c r="O343" s="28" t="s">
        <v>317</v>
      </c>
    </row>
    <row r="344" spans="1:15" ht="45" x14ac:dyDescent="0.25">
      <c r="A344">
        <v>8689</v>
      </c>
      <c r="B344" s="24">
        <v>3</v>
      </c>
      <c r="C344" s="29" t="s">
        <v>314</v>
      </c>
      <c r="D344">
        <v>2016</v>
      </c>
      <c r="E344" s="24">
        <v>28</v>
      </c>
      <c r="F344" s="25">
        <v>48.6</v>
      </c>
      <c r="G344" s="24">
        <v>9</v>
      </c>
      <c r="H344" s="26">
        <v>35.113100000000003</v>
      </c>
      <c r="I344" s="25">
        <v>9.8358000000000008</v>
      </c>
      <c r="J344" s="26"/>
      <c r="K344" s="24">
        <v>3.8</v>
      </c>
      <c r="L344" s="26"/>
      <c r="M344" s="26">
        <v>62</v>
      </c>
      <c r="N344" s="27" t="s">
        <v>2</v>
      </c>
      <c r="O344" s="28" t="s">
        <v>318</v>
      </c>
    </row>
    <row r="345" spans="1:15" ht="60" x14ac:dyDescent="0.25">
      <c r="A345">
        <v>8690</v>
      </c>
      <c r="B345" s="24">
        <v>3</v>
      </c>
      <c r="C345" s="29" t="s">
        <v>314</v>
      </c>
      <c r="D345">
        <v>2016</v>
      </c>
      <c r="E345" s="24">
        <v>2</v>
      </c>
      <c r="F345" s="25">
        <v>8.9700000000000006</v>
      </c>
      <c r="G345" s="24">
        <v>11</v>
      </c>
      <c r="H345" s="26">
        <v>37.9208</v>
      </c>
      <c r="I345" s="25">
        <v>9.7871000000000006</v>
      </c>
      <c r="J345" s="26" t="s">
        <v>1</v>
      </c>
      <c r="K345" s="24">
        <v>4.3</v>
      </c>
      <c r="L345" s="26">
        <v>3.6</v>
      </c>
      <c r="M345" s="26">
        <v>111</v>
      </c>
      <c r="N345" s="27" t="s">
        <v>2</v>
      </c>
      <c r="O345" s="28" t="s">
        <v>319</v>
      </c>
    </row>
    <row r="346" spans="1:15" ht="60" x14ac:dyDescent="0.25">
      <c r="A346">
        <v>8691</v>
      </c>
      <c r="B346" s="24">
        <v>3</v>
      </c>
      <c r="C346" s="29" t="s">
        <v>314</v>
      </c>
      <c r="D346">
        <v>2016</v>
      </c>
      <c r="E346" s="24">
        <v>57</v>
      </c>
      <c r="F346" s="25">
        <v>4.25</v>
      </c>
      <c r="G346" s="24">
        <v>22</v>
      </c>
      <c r="H346" s="26">
        <v>-29.660499999999999</v>
      </c>
      <c r="I346" s="25">
        <v>26.148700000000002</v>
      </c>
      <c r="J346" s="26" t="s">
        <v>1</v>
      </c>
      <c r="K346" s="24">
        <v>3.7</v>
      </c>
      <c r="L346" s="26"/>
      <c r="M346" s="26">
        <v>56</v>
      </c>
      <c r="N346" s="27" t="s">
        <v>6</v>
      </c>
      <c r="O346" s="28" t="s">
        <v>113</v>
      </c>
    </row>
    <row r="347" spans="1:15" ht="60" x14ac:dyDescent="0.25">
      <c r="A347">
        <v>8692</v>
      </c>
      <c r="B347" s="24">
        <v>3</v>
      </c>
      <c r="C347" s="29" t="s">
        <v>314</v>
      </c>
      <c r="D347">
        <v>2016</v>
      </c>
      <c r="E347" s="24">
        <v>14</v>
      </c>
      <c r="F347" s="25">
        <v>49.39</v>
      </c>
      <c r="G347" s="24">
        <v>23</v>
      </c>
      <c r="H347" s="26">
        <v>31.3826</v>
      </c>
      <c r="I347" s="25">
        <v>29.237500000000001</v>
      </c>
      <c r="J347" s="26" t="s">
        <v>1</v>
      </c>
      <c r="K347" s="24">
        <v>4.0999999999999996</v>
      </c>
      <c r="L347" s="26"/>
      <c r="M347" s="26">
        <v>151</v>
      </c>
      <c r="N347" s="27" t="s">
        <v>72</v>
      </c>
      <c r="O347" s="28" t="s">
        <v>320</v>
      </c>
    </row>
    <row r="348" spans="1:15" ht="60" x14ac:dyDescent="0.25">
      <c r="A348">
        <v>8693</v>
      </c>
      <c r="B348" s="24">
        <v>4</v>
      </c>
      <c r="C348" s="29" t="s">
        <v>314</v>
      </c>
      <c r="D348">
        <v>2016</v>
      </c>
      <c r="E348" s="24">
        <v>6</v>
      </c>
      <c r="F348" s="25">
        <v>46.9</v>
      </c>
      <c r="G348" s="24">
        <v>1</v>
      </c>
      <c r="H348" s="26">
        <v>36.981200000000001</v>
      </c>
      <c r="I348" s="25">
        <v>2.4182999999999999</v>
      </c>
      <c r="J348" s="26" t="s">
        <v>1</v>
      </c>
      <c r="K348" s="24">
        <v>3.1</v>
      </c>
      <c r="L348" s="26">
        <v>3.6</v>
      </c>
      <c r="M348" s="26">
        <v>155</v>
      </c>
      <c r="N348" s="27" t="s">
        <v>10</v>
      </c>
      <c r="O348" s="28" t="s">
        <v>321</v>
      </c>
    </row>
    <row r="349" spans="1:15" ht="60" x14ac:dyDescent="0.25">
      <c r="A349">
        <v>8694</v>
      </c>
      <c r="B349" s="8">
        <v>5</v>
      </c>
      <c r="C349" s="21" t="s">
        <v>314</v>
      </c>
      <c r="D349">
        <v>2016</v>
      </c>
      <c r="E349" s="8">
        <v>29</v>
      </c>
      <c r="F349" s="9">
        <v>10.95</v>
      </c>
      <c r="G349" s="8">
        <v>3</v>
      </c>
      <c r="H349" s="11">
        <v>6.1325000000000003</v>
      </c>
      <c r="I349" s="9">
        <v>-8.9661000000000008</v>
      </c>
      <c r="J349" s="11" t="s">
        <v>1</v>
      </c>
      <c r="K349" s="8">
        <v>3.4</v>
      </c>
      <c r="L349" s="11">
        <v>2.9</v>
      </c>
      <c r="M349" s="11">
        <v>26</v>
      </c>
      <c r="N349" s="12" t="s">
        <v>322</v>
      </c>
      <c r="O349" s="13" t="s">
        <v>323</v>
      </c>
    </row>
    <row r="350" spans="1:15" ht="60" x14ac:dyDescent="0.25">
      <c r="A350">
        <v>8695</v>
      </c>
      <c r="B350" s="24">
        <v>5</v>
      </c>
      <c r="C350" s="29" t="s">
        <v>314</v>
      </c>
      <c r="D350">
        <v>2016</v>
      </c>
      <c r="E350" s="24">
        <v>44</v>
      </c>
      <c r="F350" s="25">
        <v>19.5</v>
      </c>
      <c r="G350" s="24">
        <v>10</v>
      </c>
      <c r="H350" s="26">
        <v>-29.9194</v>
      </c>
      <c r="I350" s="25">
        <v>26.040199999999999</v>
      </c>
      <c r="J350" s="26" t="s">
        <v>1</v>
      </c>
      <c r="K350" s="36">
        <v>4</v>
      </c>
      <c r="L350" s="26"/>
      <c r="M350" s="26">
        <v>64</v>
      </c>
      <c r="N350" s="27" t="s">
        <v>6</v>
      </c>
      <c r="O350" s="28" t="s">
        <v>113</v>
      </c>
    </row>
    <row r="351" spans="1:15" ht="75" x14ac:dyDescent="0.25">
      <c r="A351">
        <v>8696</v>
      </c>
      <c r="B351" s="24">
        <v>6</v>
      </c>
      <c r="C351" s="29" t="s">
        <v>314</v>
      </c>
      <c r="D351">
        <v>2016</v>
      </c>
      <c r="E351" s="24">
        <v>50</v>
      </c>
      <c r="F351" s="25">
        <v>47.04</v>
      </c>
      <c r="G351" s="24">
        <v>9</v>
      </c>
      <c r="H351" s="26">
        <v>-0.46829999999999999</v>
      </c>
      <c r="I351" s="25">
        <v>30.067299999999999</v>
      </c>
      <c r="J351" s="26" t="s">
        <v>1</v>
      </c>
      <c r="K351" s="36">
        <v>4</v>
      </c>
      <c r="L351" s="26"/>
      <c r="M351" s="26">
        <v>177</v>
      </c>
      <c r="N351" s="27" t="s">
        <v>324</v>
      </c>
      <c r="O351" s="28" t="s">
        <v>325</v>
      </c>
    </row>
    <row r="352" spans="1:15" ht="75" x14ac:dyDescent="0.25">
      <c r="A352">
        <v>8697</v>
      </c>
      <c r="B352" s="8">
        <v>6</v>
      </c>
      <c r="C352" s="21" t="s">
        <v>314</v>
      </c>
      <c r="D352">
        <v>2016</v>
      </c>
      <c r="E352" s="8">
        <v>37</v>
      </c>
      <c r="F352" s="9">
        <v>8.26</v>
      </c>
      <c r="G352" s="8">
        <v>18</v>
      </c>
      <c r="H352" s="11">
        <v>10.1084</v>
      </c>
      <c r="I352" s="9">
        <v>-17.412199999999999</v>
      </c>
      <c r="J352" s="11" t="s">
        <v>1</v>
      </c>
      <c r="K352" s="8">
        <v>4.2</v>
      </c>
      <c r="L352" s="11">
        <v>3.2</v>
      </c>
      <c r="M352" s="11">
        <v>38</v>
      </c>
      <c r="N352" s="12" t="s">
        <v>15</v>
      </c>
      <c r="O352" s="13" t="s">
        <v>326</v>
      </c>
    </row>
    <row r="353" spans="1:15" ht="60" x14ac:dyDescent="0.25">
      <c r="A353">
        <v>8698</v>
      </c>
      <c r="B353" s="8">
        <v>7</v>
      </c>
      <c r="C353" s="21" t="s">
        <v>314</v>
      </c>
      <c r="D353">
        <v>2016</v>
      </c>
      <c r="E353" s="8">
        <v>19</v>
      </c>
      <c r="F353" s="9">
        <v>1</v>
      </c>
      <c r="G353" s="8">
        <v>11</v>
      </c>
      <c r="H353" s="11">
        <v>4.2186000000000003</v>
      </c>
      <c r="I353" s="9">
        <v>-10.8513</v>
      </c>
      <c r="J353" s="11" t="s">
        <v>1</v>
      </c>
      <c r="K353" s="38">
        <v>4</v>
      </c>
      <c r="L353" s="11">
        <v>3.3</v>
      </c>
      <c r="M353" s="11">
        <v>156</v>
      </c>
      <c r="N353" s="12" t="s">
        <v>15</v>
      </c>
      <c r="O353" s="13" t="s">
        <v>233</v>
      </c>
    </row>
    <row r="354" spans="1:15" ht="60" x14ac:dyDescent="0.25">
      <c r="A354">
        <v>8699</v>
      </c>
      <c r="B354" s="24">
        <v>7</v>
      </c>
      <c r="C354" s="29" t="s">
        <v>314</v>
      </c>
      <c r="D354">
        <v>2016</v>
      </c>
      <c r="E354" s="24">
        <v>56</v>
      </c>
      <c r="F354" s="25">
        <v>50.57</v>
      </c>
      <c r="G354" s="24">
        <v>23</v>
      </c>
      <c r="H354" s="26">
        <v>-33.5822</v>
      </c>
      <c r="I354" s="25">
        <v>21.3217</v>
      </c>
      <c r="J354" s="26" t="s">
        <v>1</v>
      </c>
      <c r="K354" s="24">
        <v>4.2</v>
      </c>
      <c r="L354" s="26"/>
      <c r="M354" s="26">
        <v>68</v>
      </c>
      <c r="N354" s="27" t="s">
        <v>6</v>
      </c>
      <c r="O354" s="28" t="s">
        <v>327</v>
      </c>
    </row>
    <row r="355" spans="1:15" ht="45" x14ac:dyDescent="0.25">
      <c r="A355">
        <v>8700</v>
      </c>
      <c r="B355" s="8">
        <v>8</v>
      </c>
      <c r="C355" s="21" t="s">
        <v>314</v>
      </c>
      <c r="D355">
        <v>2016</v>
      </c>
      <c r="E355" s="8">
        <v>56</v>
      </c>
      <c r="F355" s="9">
        <v>42.54</v>
      </c>
      <c r="G355" s="8">
        <v>13</v>
      </c>
      <c r="H355" s="11">
        <v>13.5762</v>
      </c>
      <c r="I355" s="9">
        <v>2.9779</v>
      </c>
      <c r="J355" s="11" t="s">
        <v>1</v>
      </c>
      <c r="K355" s="8">
        <v>4.3</v>
      </c>
      <c r="L355" s="11"/>
      <c r="M355" s="11">
        <v>174</v>
      </c>
      <c r="N355" s="12" t="s">
        <v>15</v>
      </c>
      <c r="O355" s="13" t="s">
        <v>328</v>
      </c>
    </row>
    <row r="356" spans="1:15" ht="30" x14ac:dyDescent="0.25">
      <c r="A356">
        <v>8701</v>
      </c>
      <c r="B356" s="24">
        <v>8</v>
      </c>
      <c r="C356" s="29" t="s">
        <v>314</v>
      </c>
      <c r="D356">
        <v>2016</v>
      </c>
      <c r="E356" s="24">
        <v>7</v>
      </c>
      <c r="F356" s="25">
        <v>21.62</v>
      </c>
      <c r="G356" s="24">
        <v>14</v>
      </c>
      <c r="H356" s="26">
        <v>-13.4438</v>
      </c>
      <c r="I356" s="25">
        <v>34.865200000000002</v>
      </c>
      <c r="J356" s="26">
        <v>4.5999999999999996</v>
      </c>
      <c r="K356" s="36">
        <v>4</v>
      </c>
      <c r="L356" s="26">
        <v>4.2</v>
      </c>
      <c r="M356" s="26">
        <v>51</v>
      </c>
      <c r="N356" s="27" t="s">
        <v>266</v>
      </c>
      <c r="O356" s="28" t="s">
        <v>267</v>
      </c>
    </row>
    <row r="357" spans="1:15" ht="105" x14ac:dyDescent="0.25">
      <c r="A357">
        <v>8702</v>
      </c>
      <c r="B357" s="24">
        <v>9</v>
      </c>
      <c r="C357" s="29" t="s">
        <v>314</v>
      </c>
      <c r="D357">
        <v>2016</v>
      </c>
      <c r="E357" s="24">
        <v>37</v>
      </c>
      <c r="F357" s="25">
        <v>17.260000000000002</v>
      </c>
      <c r="G357" s="24">
        <v>17</v>
      </c>
      <c r="H357" s="26">
        <v>-26.192399999999999</v>
      </c>
      <c r="I357" s="25">
        <v>27.9361</v>
      </c>
      <c r="J357" s="26" t="s">
        <v>1</v>
      </c>
      <c r="K357" s="24">
        <v>4.2</v>
      </c>
      <c r="L357" s="26">
        <v>2.5</v>
      </c>
      <c r="M357" s="26">
        <v>138</v>
      </c>
      <c r="N357" s="27" t="s">
        <v>6</v>
      </c>
      <c r="O357" s="28" t="s">
        <v>329</v>
      </c>
    </row>
    <row r="358" spans="1:15" ht="45" x14ac:dyDescent="0.25">
      <c r="A358">
        <v>8703</v>
      </c>
      <c r="B358" s="8">
        <v>9</v>
      </c>
      <c r="C358" s="21" t="s">
        <v>314</v>
      </c>
      <c r="D358">
        <v>2016</v>
      </c>
      <c r="E358" s="8">
        <v>46</v>
      </c>
      <c r="F358" s="9">
        <v>46.56</v>
      </c>
      <c r="G358" s="8">
        <v>20</v>
      </c>
      <c r="H358" s="11">
        <v>7.9835000000000003</v>
      </c>
      <c r="I358" s="9">
        <v>-4.4203000000000001</v>
      </c>
      <c r="J358" s="11" t="s">
        <v>1</v>
      </c>
      <c r="K358" s="38">
        <v>4</v>
      </c>
      <c r="L358" s="11"/>
      <c r="M358" s="11">
        <v>71</v>
      </c>
      <c r="N358" s="12" t="s">
        <v>15</v>
      </c>
      <c r="O358" s="13" t="s">
        <v>330</v>
      </c>
    </row>
    <row r="359" spans="1:15" ht="45" x14ac:dyDescent="0.25">
      <c r="A359">
        <v>8704</v>
      </c>
      <c r="B359" s="24">
        <v>9</v>
      </c>
      <c r="C359" s="29" t="s">
        <v>314</v>
      </c>
      <c r="D359">
        <v>2016</v>
      </c>
      <c r="E359" s="24">
        <v>3</v>
      </c>
      <c r="F359" s="25">
        <v>45.04</v>
      </c>
      <c r="G359" s="24">
        <v>23</v>
      </c>
      <c r="H359" s="26">
        <v>35.862200000000001</v>
      </c>
      <c r="I359" s="25">
        <v>2.5849000000000002</v>
      </c>
      <c r="J359" s="26" t="s">
        <v>1</v>
      </c>
      <c r="K359" s="24">
        <v>3.6</v>
      </c>
      <c r="L359" s="26">
        <v>3.4</v>
      </c>
      <c r="M359" s="26">
        <v>17</v>
      </c>
      <c r="N359" s="27" t="s">
        <v>10</v>
      </c>
      <c r="O359" s="28" t="s">
        <v>331</v>
      </c>
    </row>
    <row r="360" spans="1:15" ht="90" x14ac:dyDescent="0.25">
      <c r="A360">
        <v>8705</v>
      </c>
      <c r="B360" s="24">
        <v>10</v>
      </c>
      <c r="C360" s="29" t="s">
        <v>314</v>
      </c>
      <c r="D360">
        <v>2016</v>
      </c>
      <c r="E360" s="24">
        <v>20</v>
      </c>
      <c r="F360" s="25">
        <v>42.85</v>
      </c>
      <c r="G360" s="24">
        <v>20</v>
      </c>
      <c r="H360" s="26">
        <v>-9.8356999999999992</v>
      </c>
      <c r="I360" s="25">
        <v>24.0307</v>
      </c>
      <c r="J360" s="26" t="s">
        <v>1</v>
      </c>
      <c r="K360" s="36">
        <v>3.9</v>
      </c>
      <c r="L360" s="26">
        <v>3.7</v>
      </c>
      <c r="M360" s="26">
        <v>99</v>
      </c>
      <c r="N360" s="27" t="s">
        <v>8</v>
      </c>
      <c r="O360" s="28" t="s">
        <v>332</v>
      </c>
    </row>
    <row r="361" spans="1:15" ht="45" x14ac:dyDescent="0.25">
      <c r="A361">
        <v>8706</v>
      </c>
      <c r="B361" s="24">
        <v>11</v>
      </c>
      <c r="C361" s="29" t="s">
        <v>314</v>
      </c>
      <c r="D361">
        <v>2016</v>
      </c>
      <c r="E361" s="24">
        <v>45</v>
      </c>
      <c r="F361" s="25">
        <v>58.33</v>
      </c>
      <c r="G361" s="24">
        <v>22</v>
      </c>
      <c r="H361" s="26">
        <v>-0.48549999999999999</v>
      </c>
      <c r="I361" s="25">
        <v>37.283999999999999</v>
      </c>
      <c r="J361" s="26" t="s">
        <v>1</v>
      </c>
      <c r="K361" s="24">
        <v>4.4000000000000004</v>
      </c>
      <c r="L361" s="26"/>
      <c r="M361" s="26">
        <v>69</v>
      </c>
      <c r="N361" s="27" t="s">
        <v>13</v>
      </c>
      <c r="O361" s="28" t="s">
        <v>333</v>
      </c>
    </row>
    <row r="362" spans="1:15" ht="60" x14ac:dyDescent="0.25">
      <c r="A362">
        <v>8707</v>
      </c>
      <c r="B362" s="24">
        <v>12</v>
      </c>
      <c r="C362" s="29" t="s">
        <v>314</v>
      </c>
      <c r="D362">
        <v>2016</v>
      </c>
      <c r="E362" s="24">
        <v>14</v>
      </c>
      <c r="F362" s="25">
        <v>42.44</v>
      </c>
      <c r="G362" s="24">
        <v>12</v>
      </c>
      <c r="H362" s="26">
        <v>-27.280799999999999</v>
      </c>
      <c r="I362" s="25">
        <v>22.4908</v>
      </c>
      <c r="J362" s="26" t="s">
        <v>1</v>
      </c>
      <c r="K362" s="36">
        <v>3.7</v>
      </c>
      <c r="L362" s="26">
        <v>2.8</v>
      </c>
      <c r="M362" s="26">
        <v>16</v>
      </c>
      <c r="N362" s="27" t="s">
        <v>6</v>
      </c>
      <c r="O362" s="28" t="s">
        <v>239</v>
      </c>
    </row>
    <row r="363" spans="1:15" ht="45" x14ac:dyDescent="0.25">
      <c r="A363">
        <v>8708</v>
      </c>
      <c r="B363" s="8">
        <v>12</v>
      </c>
      <c r="C363" s="21" t="s">
        <v>314</v>
      </c>
      <c r="D363">
        <v>2016</v>
      </c>
      <c r="E363" s="8">
        <v>57</v>
      </c>
      <c r="F363" s="9">
        <v>36.020000000000003</v>
      </c>
      <c r="G363" s="8">
        <v>17</v>
      </c>
      <c r="H363" s="11">
        <v>6.1992000000000003</v>
      </c>
      <c r="I363" s="9">
        <v>-4.5917000000000003</v>
      </c>
      <c r="J363" s="11" t="s">
        <v>1</v>
      </c>
      <c r="K363" s="8">
        <v>4.4000000000000004</v>
      </c>
      <c r="L363" s="11"/>
      <c r="M363" s="11">
        <v>2</v>
      </c>
      <c r="N363" s="12" t="s">
        <v>15</v>
      </c>
      <c r="O363" s="13" t="s">
        <v>334</v>
      </c>
    </row>
    <row r="364" spans="1:15" ht="60" x14ac:dyDescent="0.25">
      <c r="A364">
        <v>8709</v>
      </c>
      <c r="B364" s="24">
        <v>13</v>
      </c>
      <c r="C364" s="29" t="s">
        <v>314</v>
      </c>
      <c r="D364">
        <v>2016</v>
      </c>
      <c r="E364" s="24">
        <v>44</v>
      </c>
      <c r="F364" s="25">
        <v>56.05</v>
      </c>
      <c r="G364" s="24">
        <v>3</v>
      </c>
      <c r="H364" s="26">
        <v>34.6798</v>
      </c>
      <c r="I364" s="25">
        <v>11.977</v>
      </c>
      <c r="J364" s="26" t="s">
        <v>1</v>
      </c>
      <c r="K364" s="36">
        <v>3.8</v>
      </c>
      <c r="L364" s="26">
        <v>1.9</v>
      </c>
      <c r="M364" s="26">
        <v>161</v>
      </c>
      <c r="N364" s="27" t="s">
        <v>2</v>
      </c>
      <c r="O364" s="28" t="s">
        <v>335</v>
      </c>
    </row>
    <row r="365" spans="1:15" ht="60" x14ac:dyDescent="0.25">
      <c r="A365">
        <v>8710</v>
      </c>
      <c r="B365" s="24">
        <v>14</v>
      </c>
      <c r="C365" s="29" t="s">
        <v>314</v>
      </c>
      <c r="D365">
        <v>2016</v>
      </c>
      <c r="E365" s="24">
        <v>32</v>
      </c>
      <c r="F365" s="25">
        <v>48.77</v>
      </c>
      <c r="G365" s="24">
        <v>0</v>
      </c>
      <c r="H365" s="26">
        <v>-15.2897</v>
      </c>
      <c r="I365" s="25">
        <v>11.412699999999999</v>
      </c>
      <c r="J365" s="26" t="s">
        <v>1</v>
      </c>
      <c r="K365" s="24">
        <v>3.8</v>
      </c>
      <c r="L365" s="26">
        <v>4.3</v>
      </c>
      <c r="M365" s="26">
        <v>76</v>
      </c>
      <c r="N365" s="27" t="s">
        <v>63</v>
      </c>
      <c r="O365" s="28" t="s">
        <v>336</v>
      </c>
    </row>
    <row r="366" spans="1:15" ht="60" x14ac:dyDescent="0.25">
      <c r="A366">
        <v>8711</v>
      </c>
      <c r="B366" s="8">
        <v>14</v>
      </c>
      <c r="C366" s="21" t="s">
        <v>314</v>
      </c>
      <c r="D366">
        <v>2016</v>
      </c>
      <c r="E366" s="8">
        <v>4</v>
      </c>
      <c r="F366" s="9">
        <v>54.2</v>
      </c>
      <c r="G366" s="8">
        <v>2</v>
      </c>
      <c r="H366" s="11">
        <v>9.0192999999999994</v>
      </c>
      <c r="I366" s="9">
        <v>-4.3140999999999998</v>
      </c>
      <c r="J366" s="11" t="s">
        <v>1</v>
      </c>
      <c r="K366" s="8"/>
      <c r="L366" s="11">
        <v>1.9</v>
      </c>
      <c r="M366" s="11">
        <v>123</v>
      </c>
      <c r="N366" s="12" t="s">
        <v>15</v>
      </c>
      <c r="O366" s="13" t="s">
        <v>337</v>
      </c>
    </row>
    <row r="367" spans="1:15" ht="30" x14ac:dyDescent="0.25">
      <c r="A367">
        <v>8712</v>
      </c>
      <c r="B367" s="24">
        <v>14</v>
      </c>
      <c r="C367" s="29" t="s">
        <v>314</v>
      </c>
      <c r="D367">
        <v>2016</v>
      </c>
      <c r="E367" s="24">
        <v>26</v>
      </c>
      <c r="F367" s="25">
        <v>57.83</v>
      </c>
      <c r="G367" s="24">
        <v>12</v>
      </c>
      <c r="H367" s="26">
        <v>29.579000000000001</v>
      </c>
      <c r="I367" s="25">
        <v>20.866499999999998</v>
      </c>
      <c r="J367" s="26" t="s">
        <v>1</v>
      </c>
      <c r="K367" s="24">
        <v>3.7</v>
      </c>
      <c r="L367" s="26"/>
      <c r="M367" s="26">
        <v>6</v>
      </c>
      <c r="N367" s="27" t="s">
        <v>48</v>
      </c>
      <c r="O367" s="28" t="s">
        <v>338</v>
      </c>
    </row>
    <row r="368" spans="1:15" ht="60" x14ac:dyDescent="0.25">
      <c r="A368">
        <v>8713</v>
      </c>
      <c r="B368" s="24">
        <v>15</v>
      </c>
      <c r="C368" s="29" t="s">
        <v>314</v>
      </c>
      <c r="D368">
        <v>2016</v>
      </c>
      <c r="E368" s="24">
        <v>9</v>
      </c>
      <c r="F368" s="25">
        <v>55.71</v>
      </c>
      <c r="G368" s="24">
        <v>10</v>
      </c>
      <c r="H368" s="26">
        <v>-29.274000000000001</v>
      </c>
      <c r="I368" s="25">
        <v>25.546800000000001</v>
      </c>
      <c r="J368" s="26" t="s">
        <v>1</v>
      </c>
      <c r="K368" s="24">
        <v>3.9</v>
      </c>
      <c r="L368" s="26"/>
      <c r="M368" s="26">
        <v>71</v>
      </c>
      <c r="N368" s="27" t="s">
        <v>6</v>
      </c>
      <c r="O368" s="28" t="s">
        <v>236</v>
      </c>
    </row>
    <row r="369" spans="1:15" ht="120" x14ac:dyDescent="0.25">
      <c r="A369">
        <v>8714</v>
      </c>
      <c r="B369" s="24">
        <v>18</v>
      </c>
      <c r="C369" s="29" t="s">
        <v>314</v>
      </c>
      <c r="D369">
        <v>2016</v>
      </c>
      <c r="E369" s="24">
        <v>8</v>
      </c>
      <c r="F369" s="25">
        <v>29.88</v>
      </c>
      <c r="G369" s="24">
        <v>13</v>
      </c>
      <c r="H369" s="26">
        <v>-26.5379</v>
      </c>
      <c r="I369" s="25">
        <v>33.4801</v>
      </c>
      <c r="J369" s="26" t="s">
        <v>1</v>
      </c>
      <c r="K369" s="24">
        <v>4.3</v>
      </c>
      <c r="L369" s="26">
        <v>3.6</v>
      </c>
      <c r="M369" s="26">
        <v>150</v>
      </c>
      <c r="N369" s="27" t="s">
        <v>24</v>
      </c>
      <c r="O369" s="28" t="s">
        <v>339</v>
      </c>
    </row>
    <row r="370" spans="1:15" ht="90" x14ac:dyDescent="0.25">
      <c r="A370">
        <v>8715</v>
      </c>
      <c r="B370" s="24">
        <v>18</v>
      </c>
      <c r="C370" s="29" t="s">
        <v>314</v>
      </c>
      <c r="D370">
        <v>2016</v>
      </c>
      <c r="E370" s="24">
        <v>57</v>
      </c>
      <c r="F370" s="25">
        <v>18.77</v>
      </c>
      <c r="G370" s="24">
        <v>16</v>
      </c>
      <c r="H370" s="26">
        <v>-11.855499999999999</v>
      </c>
      <c r="I370" s="25">
        <v>50.601999999999997</v>
      </c>
      <c r="J370" s="26">
        <v>5.8</v>
      </c>
      <c r="K370" s="24">
        <v>4.3</v>
      </c>
      <c r="L370" s="26"/>
      <c r="M370" s="26">
        <v>9</v>
      </c>
      <c r="N370" s="27" t="s">
        <v>177</v>
      </c>
      <c r="O370" s="28" t="s">
        <v>340</v>
      </c>
    </row>
    <row r="371" spans="1:15" ht="45" x14ac:dyDescent="0.25">
      <c r="A371">
        <v>8716</v>
      </c>
      <c r="B371" s="24">
        <v>18</v>
      </c>
      <c r="C371" s="29" t="s">
        <v>314</v>
      </c>
      <c r="D371">
        <v>2016</v>
      </c>
      <c r="E371" s="24">
        <v>59</v>
      </c>
      <c r="F371" s="25">
        <v>38.869999999999997</v>
      </c>
      <c r="G371" s="24">
        <v>16</v>
      </c>
      <c r="H371" s="26">
        <v>8.8675999999999995</v>
      </c>
      <c r="I371" s="25">
        <v>43.798499999999997</v>
      </c>
      <c r="J371" s="26" t="s">
        <v>1</v>
      </c>
      <c r="K371" s="24">
        <v>4.3</v>
      </c>
      <c r="L371" s="26"/>
      <c r="M371" s="26">
        <v>96</v>
      </c>
      <c r="N371" s="27" t="s">
        <v>57</v>
      </c>
      <c r="O371" s="28" t="s">
        <v>341</v>
      </c>
    </row>
    <row r="372" spans="1:15" ht="120" x14ac:dyDescent="0.25">
      <c r="A372">
        <v>8717</v>
      </c>
      <c r="B372" s="24">
        <v>19</v>
      </c>
      <c r="C372" s="29" t="s">
        <v>314</v>
      </c>
      <c r="D372">
        <v>2016</v>
      </c>
      <c r="E372" s="24">
        <v>19</v>
      </c>
      <c r="F372" s="25">
        <v>44.39</v>
      </c>
      <c r="G372" s="24">
        <v>9</v>
      </c>
      <c r="H372" s="26">
        <v>-23.118099999999998</v>
      </c>
      <c r="I372" s="25">
        <v>42.616</v>
      </c>
      <c r="J372" s="26" t="s">
        <v>1</v>
      </c>
      <c r="K372" s="24">
        <v>3.7</v>
      </c>
      <c r="L372" s="26">
        <v>3.5</v>
      </c>
      <c r="M372" s="26">
        <v>169</v>
      </c>
      <c r="N372" s="27" t="s">
        <v>177</v>
      </c>
      <c r="O372" s="28" t="s">
        <v>342</v>
      </c>
    </row>
    <row r="373" spans="1:15" ht="60" x14ac:dyDescent="0.25">
      <c r="A373">
        <v>8718</v>
      </c>
      <c r="B373" s="24">
        <v>21</v>
      </c>
      <c r="C373" s="29" t="s">
        <v>314</v>
      </c>
      <c r="D373">
        <v>2016</v>
      </c>
      <c r="E373" s="24">
        <v>34</v>
      </c>
      <c r="F373" s="25">
        <v>20.329999999999998</v>
      </c>
      <c r="G373" s="24">
        <v>9</v>
      </c>
      <c r="H373" s="26">
        <v>-27.2194</v>
      </c>
      <c r="I373" s="25">
        <v>30.0154</v>
      </c>
      <c r="J373" s="26" t="s">
        <v>1</v>
      </c>
      <c r="K373" s="24"/>
      <c r="L373" s="26">
        <v>3.7</v>
      </c>
      <c r="M373" s="26">
        <v>160</v>
      </c>
      <c r="N373" s="27" t="s">
        <v>6</v>
      </c>
      <c r="O373" s="28" t="s">
        <v>343</v>
      </c>
    </row>
    <row r="374" spans="1:15" ht="135" x14ac:dyDescent="0.25">
      <c r="A374">
        <v>8719</v>
      </c>
      <c r="B374" s="24">
        <v>21</v>
      </c>
      <c r="C374" s="29" t="s">
        <v>314</v>
      </c>
      <c r="D374">
        <v>2016</v>
      </c>
      <c r="E374" s="24">
        <v>20</v>
      </c>
      <c r="F374" s="25">
        <v>39.119999999999997</v>
      </c>
      <c r="G374" s="24">
        <v>14</v>
      </c>
      <c r="H374" s="26">
        <v>25.504799999999999</v>
      </c>
      <c r="I374" s="25">
        <v>31.7256</v>
      </c>
      <c r="J374" s="26" t="s">
        <v>1</v>
      </c>
      <c r="K374" s="24">
        <v>4</v>
      </c>
      <c r="L374" s="26"/>
      <c r="M374" s="26">
        <v>111</v>
      </c>
      <c r="N374" s="27" t="s">
        <v>72</v>
      </c>
      <c r="O374" s="28" t="s">
        <v>344</v>
      </c>
    </row>
    <row r="375" spans="1:15" ht="60" x14ac:dyDescent="0.25">
      <c r="A375">
        <v>8720</v>
      </c>
      <c r="B375" s="24">
        <v>21</v>
      </c>
      <c r="C375" s="29" t="s">
        <v>314</v>
      </c>
      <c r="D375">
        <v>2016</v>
      </c>
      <c r="E375" s="24">
        <v>23</v>
      </c>
      <c r="F375" s="25">
        <v>10.89</v>
      </c>
      <c r="G375" s="24">
        <v>15</v>
      </c>
      <c r="H375" s="26">
        <v>-27.420400000000001</v>
      </c>
      <c r="I375" s="25">
        <v>32.300199999999997</v>
      </c>
      <c r="J375" s="26" t="s">
        <v>1</v>
      </c>
      <c r="K375" s="24">
        <v>4</v>
      </c>
      <c r="L375" s="26">
        <v>3.1</v>
      </c>
      <c r="M375" s="26">
        <v>165</v>
      </c>
      <c r="N375" s="27" t="s">
        <v>6</v>
      </c>
      <c r="O375" s="28" t="s">
        <v>345</v>
      </c>
    </row>
    <row r="376" spans="1:15" ht="60" x14ac:dyDescent="0.25">
      <c r="A376">
        <v>8721</v>
      </c>
      <c r="B376" s="24">
        <v>23</v>
      </c>
      <c r="C376" s="29" t="s">
        <v>314</v>
      </c>
      <c r="D376">
        <v>2016</v>
      </c>
      <c r="E376" s="24">
        <v>50</v>
      </c>
      <c r="F376" s="25">
        <v>7.43</v>
      </c>
      <c r="G376" s="24">
        <v>21</v>
      </c>
      <c r="H376" s="26">
        <v>-0.111</v>
      </c>
      <c r="I376" s="25">
        <v>38.011800000000001</v>
      </c>
      <c r="J376" s="26" t="s">
        <v>1</v>
      </c>
      <c r="K376" s="24">
        <v>3.8</v>
      </c>
      <c r="L376" s="26"/>
      <c r="M376" s="26">
        <v>124</v>
      </c>
      <c r="N376" s="27" t="s">
        <v>13</v>
      </c>
      <c r="O376" s="28" t="s">
        <v>346</v>
      </c>
    </row>
    <row r="377" spans="1:15" ht="60" x14ac:dyDescent="0.25">
      <c r="A377">
        <v>8722</v>
      </c>
      <c r="B377" s="24">
        <v>25</v>
      </c>
      <c r="C377" s="29" t="s">
        <v>314</v>
      </c>
      <c r="D377">
        <v>2016</v>
      </c>
      <c r="E377" s="24">
        <v>26</v>
      </c>
      <c r="F377" s="25">
        <v>23.11</v>
      </c>
      <c r="G377" s="24">
        <v>15</v>
      </c>
      <c r="H377" s="26">
        <v>-24.578900000000001</v>
      </c>
      <c r="I377" s="25">
        <v>30.875</v>
      </c>
      <c r="J377" s="26" t="s">
        <v>1</v>
      </c>
      <c r="K377" s="24">
        <v>3.9</v>
      </c>
      <c r="L377" s="26">
        <v>3</v>
      </c>
      <c r="M377" s="26">
        <v>172</v>
      </c>
      <c r="N377" s="27" t="s">
        <v>6</v>
      </c>
      <c r="O377" s="28" t="s">
        <v>347</v>
      </c>
    </row>
    <row r="378" spans="1:15" ht="60" x14ac:dyDescent="0.25">
      <c r="A378">
        <v>8723</v>
      </c>
      <c r="B378" s="24">
        <v>1</v>
      </c>
      <c r="C378" s="29" t="s">
        <v>348</v>
      </c>
      <c r="D378">
        <v>2016</v>
      </c>
      <c r="E378" s="24">
        <v>36</v>
      </c>
      <c r="F378" s="40">
        <v>4.8</v>
      </c>
      <c r="G378" s="24">
        <v>10</v>
      </c>
      <c r="H378" s="26">
        <v>-28.8521</v>
      </c>
      <c r="I378" s="25">
        <v>25.510200000000001</v>
      </c>
      <c r="J378" s="26" t="s">
        <v>1</v>
      </c>
      <c r="K378" s="24">
        <v>4.2</v>
      </c>
      <c r="L378" s="26"/>
      <c r="M378" s="26">
        <v>131</v>
      </c>
      <c r="N378" s="27" t="s">
        <v>6</v>
      </c>
      <c r="O378" s="28" t="s">
        <v>30</v>
      </c>
    </row>
    <row r="379" spans="1:15" ht="90" x14ac:dyDescent="0.25">
      <c r="A379">
        <v>8724</v>
      </c>
      <c r="B379" s="24">
        <v>1</v>
      </c>
      <c r="C379" s="29" t="s">
        <v>348</v>
      </c>
      <c r="D379">
        <v>2016</v>
      </c>
      <c r="E379" s="24">
        <v>28</v>
      </c>
      <c r="F379" s="25">
        <v>35.36</v>
      </c>
      <c r="G379" s="24">
        <v>13</v>
      </c>
      <c r="H379" s="26">
        <v>-25.964500000000001</v>
      </c>
      <c r="I379" s="25">
        <v>33.010300000000001</v>
      </c>
      <c r="J379" s="26" t="s">
        <v>1</v>
      </c>
      <c r="K379" s="24">
        <v>4.2</v>
      </c>
      <c r="L379" s="26">
        <v>3.4</v>
      </c>
      <c r="M379" s="26">
        <v>163</v>
      </c>
      <c r="N379" s="27" t="s">
        <v>26</v>
      </c>
      <c r="O379" s="28" t="s">
        <v>349</v>
      </c>
    </row>
    <row r="380" spans="1:15" ht="45" x14ac:dyDescent="0.25">
      <c r="A380">
        <v>8725</v>
      </c>
      <c r="B380" s="8">
        <v>1</v>
      </c>
      <c r="C380" s="21" t="s">
        <v>348</v>
      </c>
      <c r="D380">
        <v>2016</v>
      </c>
      <c r="E380" s="8">
        <v>54</v>
      </c>
      <c r="F380" s="9">
        <v>57.81</v>
      </c>
      <c r="G380" s="8">
        <v>17</v>
      </c>
      <c r="H380" s="11">
        <v>8.0564999999999998</v>
      </c>
      <c r="I380" s="9">
        <v>-4.6426999999999996</v>
      </c>
      <c r="J380" s="11" t="s">
        <v>1</v>
      </c>
      <c r="K380" s="8">
        <v>4.3</v>
      </c>
      <c r="L380" s="11"/>
      <c r="M380" s="11">
        <v>104</v>
      </c>
      <c r="N380" s="12" t="s">
        <v>15</v>
      </c>
      <c r="O380" s="13" t="s">
        <v>330</v>
      </c>
    </row>
    <row r="381" spans="1:15" ht="90" x14ac:dyDescent="0.25">
      <c r="A381">
        <v>8726</v>
      </c>
      <c r="B381" s="24">
        <v>1</v>
      </c>
      <c r="C381" s="29" t="s">
        <v>348</v>
      </c>
      <c r="D381">
        <v>2016</v>
      </c>
      <c r="E381" s="24">
        <v>10</v>
      </c>
      <c r="F381" s="40">
        <v>54.2</v>
      </c>
      <c r="G381" s="24">
        <v>18</v>
      </c>
      <c r="H381" s="26">
        <v>2.0989</v>
      </c>
      <c r="I381" s="25">
        <v>-17.268599999999999</v>
      </c>
      <c r="J381" s="26" t="s">
        <v>1</v>
      </c>
      <c r="K381" s="24">
        <v>3.9</v>
      </c>
      <c r="L381" s="26"/>
      <c r="M381" s="26">
        <v>154</v>
      </c>
      <c r="N381" s="27" t="s">
        <v>154</v>
      </c>
      <c r="O381" s="28" t="s">
        <v>350</v>
      </c>
    </row>
    <row r="382" spans="1:15" ht="90" x14ac:dyDescent="0.25">
      <c r="A382">
        <v>8727</v>
      </c>
      <c r="B382" s="24">
        <v>2</v>
      </c>
      <c r="C382" s="29" t="s">
        <v>348</v>
      </c>
      <c r="D382">
        <v>2016</v>
      </c>
      <c r="E382" s="24">
        <v>43</v>
      </c>
      <c r="F382" s="25">
        <v>8.3699999999999992</v>
      </c>
      <c r="G382" s="41">
        <v>0</v>
      </c>
      <c r="H382" s="26">
        <v>-26.5456</v>
      </c>
      <c r="I382" s="25">
        <v>27.2011</v>
      </c>
      <c r="J382" s="26" t="s">
        <v>1</v>
      </c>
      <c r="K382" s="24">
        <v>3.8</v>
      </c>
      <c r="L382" s="26"/>
      <c r="M382" s="26">
        <v>101</v>
      </c>
      <c r="N382" s="27" t="s">
        <v>6</v>
      </c>
      <c r="O382" s="28" t="s">
        <v>351</v>
      </c>
    </row>
    <row r="383" spans="1:15" ht="45" x14ac:dyDescent="0.25">
      <c r="A383">
        <v>8728</v>
      </c>
      <c r="B383" s="8">
        <v>2</v>
      </c>
      <c r="C383" s="21" t="s">
        <v>348</v>
      </c>
      <c r="D383">
        <v>2016</v>
      </c>
      <c r="E383" s="8">
        <v>13</v>
      </c>
      <c r="F383" s="9">
        <v>19.22</v>
      </c>
      <c r="G383" s="42">
        <v>3</v>
      </c>
      <c r="H383" s="11">
        <v>13.189500000000001</v>
      </c>
      <c r="I383" s="9">
        <v>1.5973999999999999</v>
      </c>
      <c r="J383" s="11" t="s">
        <v>1</v>
      </c>
      <c r="K383" s="8"/>
      <c r="L383" s="11">
        <v>2.8</v>
      </c>
      <c r="M383" s="11">
        <v>124</v>
      </c>
      <c r="N383" s="12" t="s">
        <v>15</v>
      </c>
      <c r="O383" s="13" t="s">
        <v>352</v>
      </c>
    </row>
    <row r="384" spans="1:15" ht="45" x14ac:dyDescent="0.25">
      <c r="A384">
        <v>8729</v>
      </c>
      <c r="B384" s="24">
        <v>2</v>
      </c>
      <c r="C384" s="29" t="s">
        <v>348</v>
      </c>
      <c r="D384">
        <v>2016</v>
      </c>
      <c r="E384" s="24">
        <v>22</v>
      </c>
      <c r="F384" s="25">
        <v>30.66</v>
      </c>
      <c r="G384" s="24">
        <v>14</v>
      </c>
      <c r="H384" s="26">
        <v>26.464099999999998</v>
      </c>
      <c r="I384" s="25">
        <v>17.054500000000001</v>
      </c>
      <c r="J384" s="26" t="s">
        <v>1</v>
      </c>
      <c r="K384" s="24">
        <v>3.9</v>
      </c>
      <c r="L384" s="26">
        <v>4.5</v>
      </c>
      <c r="M384" s="26">
        <v>123</v>
      </c>
      <c r="N384" s="27" t="s">
        <v>48</v>
      </c>
      <c r="O384" s="28" t="s">
        <v>353</v>
      </c>
    </row>
    <row r="385" spans="1:15" ht="45" x14ac:dyDescent="0.25">
      <c r="A385">
        <v>8730</v>
      </c>
      <c r="B385" s="24">
        <v>3</v>
      </c>
      <c r="C385" s="29" t="s">
        <v>348</v>
      </c>
      <c r="D385">
        <v>2016</v>
      </c>
      <c r="E385" s="24">
        <v>11</v>
      </c>
      <c r="F385" s="25">
        <v>37.520000000000003</v>
      </c>
      <c r="G385" s="24">
        <v>4</v>
      </c>
      <c r="H385" s="26">
        <v>34.736899999999999</v>
      </c>
      <c r="I385" s="25">
        <v>8.1174999999999997</v>
      </c>
      <c r="J385" s="26" t="s">
        <v>1</v>
      </c>
      <c r="K385" s="24">
        <v>4.2</v>
      </c>
      <c r="L385" s="26"/>
      <c r="M385" s="26">
        <v>141</v>
      </c>
      <c r="N385" s="27" t="s">
        <v>2</v>
      </c>
      <c r="O385" s="28" t="s">
        <v>354</v>
      </c>
    </row>
    <row r="386" spans="1:15" ht="30" x14ac:dyDescent="0.25">
      <c r="A386">
        <v>8731</v>
      </c>
      <c r="B386" s="24">
        <v>3</v>
      </c>
      <c r="C386" s="29" t="s">
        <v>348</v>
      </c>
      <c r="D386">
        <v>2016</v>
      </c>
      <c r="E386" s="24">
        <v>35</v>
      </c>
      <c r="F386" s="25">
        <v>25.82</v>
      </c>
      <c r="G386" s="24">
        <v>18</v>
      </c>
      <c r="H386" s="33">
        <v>5.9349999999999996</v>
      </c>
      <c r="I386" s="25">
        <v>36.607300000000002</v>
      </c>
      <c r="J386" s="26" t="s">
        <v>355</v>
      </c>
      <c r="K386" s="24">
        <v>4.3</v>
      </c>
      <c r="L386" s="32">
        <v>3</v>
      </c>
      <c r="M386" s="26">
        <v>77</v>
      </c>
      <c r="N386" s="27" t="s">
        <v>57</v>
      </c>
      <c r="O386" s="28" t="s">
        <v>356</v>
      </c>
    </row>
    <row r="387" spans="1:15" ht="45" x14ac:dyDescent="0.25">
      <c r="A387">
        <v>8732</v>
      </c>
      <c r="B387" s="8">
        <v>3</v>
      </c>
      <c r="C387" s="21" t="s">
        <v>348</v>
      </c>
      <c r="D387">
        <v>2016</v>
      </c>
      <c r="E387" s="8">
        <v>28</v>
      </c>
      <c r="F387" s="9">
        <v>58.98</v>
      </c>
      <c r="G387" s="8">
        <v>19</v>
      </c>
      <c r="H387" s="11">
        <v>13.937900000000001</v>
      </c>
      <c r="I387" s="9">
        <v>3.0861999999999998</v>
      </c>
      <c r="J387" s="11" t="s">
        <v>1</v>
      </c>
      <c r="K387" s="38">
        <v>4</v>
      </c>
      <c r="L387" s="11"/>
      <c r="M387" s="11">
        <v>143</v>
      </c>
      <c r="N387" s="12" t="s">
        <v>15</v>
      </c>
      <c r="O387" s="13" t="s">
        <v>357</v>
      </c>
    </row>
    <row r="388" spans="1:15" ht="60" x14ac:dyDescent="0.25">
      <c r="A388">
        <v>8733</v>
      </c>
      <c r="B388" s="24">
        <v>3</v>
      </c>
      <c r="C388" s="29" t="s">
        <v>348</v>
      </c>
      <c r="D388">
        <v>2016</v>
      </c>
      <c r="E388" s="24">
        <v>4</v>
      </c>
      <c r="F388" s="25">
        <v>24.47</v>
      </c>
      <c r="G388" s="24">
        <v>20</v>
      </c>
      <c r="H388" s="26">
        <v>31.4008</v>
      </c>
      <c r="I388" s="37">
        <v>29.321999999999999</v>
      </c>
      <c r="J388" s="26" t="s">
        <v>1</v>
      </c>
      <c r="K388" s="24">
        <v>4.2</v>
      </c>
      <c r="L388" s="32">
        <v>3</v>
      </c>
      <c r="M388" s="26">
        <v>96</v>
      </c>
      <c r="N388" s="27" t="s">
        <v>72</v>
      </c>
      <c r="O388" s="28" t="s">
        <v>358</v>
      </c>
    </row>
    <row r="389" spans="1:15" ht="60" x14ac:dyDescent="0.25">
      <c r="A389">
        <v>8734</v>
      </c>
      <c r="B389" s="24">
        <v>3</v>
      </c>
      <c r="C389" s="29" t="s">
        <v>348</v>
      </c>
      <c r="D389">
        <v>2016</v>
      </c>
      <c r="E389" s="24">
        <v>40</v>
      </c>
      <c r="F389" s="25">
        <v>29.06</v>
      </c>
      <c r="G389" s="24">
        <v>23</v>
      </c>
      <c r="H389" s="26">
        <v>-28.1541</v>
      </c>
      <c r="I389" s="25">
        <v>15.877800000000001</v>
      </c>
      <c r="J389" s="26" t="s">
        <v>1</v>
      </c>
      <c r="K389" s="24">
        <v>3.9</v>
      </c>
      <c r="L389" s="26">
        <v>2.4</v>
      </c>
      <c r="M389" s="26">
        <v>7</v>
      </c>
      <c r="N389" s="27" t="s">
        <v>291</v>
      </c>
      <c r="O389" s="28" t="s">
        <v>359</v>
      </c>
    </row>
    <row r="390" spans="1:15" ht="45" x14ac:dyDescent="0.25">
      <c r="A390">
        <v>8735</v>
      </c>
      <c r="B390" s="24">
        <v>4</v>
      </c>
      <c r="C390" s="29" t="s">
        <v>348</v>
      </c>
      <c r="D390">
        <v>2016</v>
      </c>
      <c r="E390" s="24">
        <v>0</v>
      </c>
      <c r="F390" s="25">
        <v>41.69</v>
      </c>
      <c r="G390" s="24">
        <v>0</v>
      </c>
      <c r="H390" s="26">
        <v>-1.1086</v>
      </c>
      <c r="I390" s="25">
        <v>37.105400000000003</v>
      </c>
      <c r="J390" s="26" t="s">
        <v>355</v>
      </c>
      <c r="K390" s="24">
        <v>3.8</v>
      </c>
      <c r="L390" s="26"/>
      <c r="M390" s="26">
        <v>97</v>
      </c>
      <c r="N390" s="27" t="s">
        <v>126</v>
      </c>
      <c r="O390" s="28" t="s">
        <v>360</v>
      </c>
    </row>
    <row r="391" spans="1:15" ht="30" x14ac:dyDescent="0.25">
      <c r="A391">
        <v>8736</v>
      </c>
      <c r="B391" s="24">
        <v>4</v>
      </c>
      <c r="C391" s="29" t="s">
        <v>348</v>
      </c>
      <c r="D391">
        <v>2016</v>
      </c>
      <c r="E391" s="24">
        <v>43</v>
      </c>
      <c r="F391" s="25">
        <v>30.77</v>
      </c>
      <c r="G391" s="24">
        <v>1</v>
      </c>
      <c r="H391" s="26">
        <v>-8.7242999999999995</v>
      </c>
      <c r="I391" s="25">
        <v>34.840299999999999</v>
      </c>
      <c r="J391" s="26" t="s">
        <v>355</v>
      </c>
      <c r="K391" s="24">
        <v>4.0999999999999996</v>
      </c>
      <c r="L391" s="26">
        <v>3.3</v>
      </c>
      <c r="M391" s="26">
        <v>96</v>
      </c>
      <c r="N391" s="27" t="s">
        <v>96</v>
      </c>
      <c r="O391" s="28" t="s">
        <v>361</v>
      </c>
    </row>
    <row r="392" spans="1:15" ht="90" x14ac:dyDescent="0.25">
      <c r="A392">
        <v>8737</v>
      </c>
      <c r="B392" s="24">
        <v>4</v>
      </c>
      <c r="C392" s="29" t="s">
        <v>348</v>
      </c>
      <c r="D392">
        <v>2016</v>
      </c>
      <c r="E392" s="24">
        <v>21</v>
      </c>
      <c r="F392" s="25">
        <v>37.92</v>
      </c>
      <c r="G392" s="24">
        <v>3</v>
      </c>
      <c r="H392" s="26">
        <v>-20.6508</v>
      </c>
      <c r="I392" s="25">
        <v>36.588200000000001</v>
      </c>
      <c r="J392" s="26" t="s">
        <v>362</v>
      </c>
      <c r="K392" s="24">
        <v>4.2</v>
      </c>
      <c r="L392" s="26"/>
      <c r="M392" s="26">
        <v>8</v>
      </c>
      <c r="N392" s="27" t="s">
        <v>75</v>
      </c>
      <c r="O392" s="28" t="s">
        <v>349</v>
      </c>
    </row>
    <row r="393" spans="1:15" ht="60" x14ac:dyDescent="0.25">
      <c r="A393">
        <v>8738</v>
      </c>
      <c r="B393" s="24">
        <v>4</v>
      </c>
      <c r="C393" s="29" t="s">
        <v>348</v>
      </c>
      <c r="D393">
        <v>2016</v>
      </c>
      <c r="E393" s="24">
        <v>34</v>
      </c>
      <c r="F393" s="25">
        <v>37.119999999999997</v>
      </c>
      <c r="G393" s="24">
        <v>13</v>
      </c>
      <c r="H393" s="26">
        <v>-26.200700000000001</v>
      </c>
      <c r="I393" s="25">
        <v>28.779499999999999</v>
      </c>
      <c r="J393" s="26" t="s">
        <v>1</v>
      </c>
      <c r="K393" s="24"/>
      <c r="L393" s="26">
        <v>3.1</v>
      </c>
      <c r="M393" s="26">
        <v>141</v>
      </c>
      <c r="N393" s="27" t="s">
        <v>6</v>
      </c>
      <c r="O393" s="28" t="s">
        <v>363</v>
      </c>
    </row>
    <row r="394" spans="1:15" ht="60" x14ac:dyDescent="0.25">
      <c r="A394">
        <v>8739</v>
      </c>
      <c r="B394" s="24">
        <v>4</v>
      </c>
      <c r="C394" s="29" t="s">
        <v>348</v>
      </c>
      <c r="D394">
        <v>2016</v>
      </c>
      <c r="E394" s="24">
        <v>46</v>
      </c>
      <c r="F394" s="25">
        <v>52.04</v>
      </c>
      <c r="G394" s="24">
        <v>15</v>
      </c>
      <c r="H394" s="26">
        <v>-21.878299999999999</v>
      </c>
      <c r="I394" s="25">
        <v>34.914099999999998</v>
      </c>
      <c r="J394" s="26" t="s">
        <v>364</v>
      </c>
      <c r="K394" s="24">
        <v>4.0999999999999996</v>
      </c>
      <c r="L394" s="26"/>
      <c r="M394" s="26">
        <v>31</v>
      </c>
      <c r="N394" s="27" t="s">
        <v>26</v>
      </c>
      <c r="O394" s="28" t="s">
        <v>365</v>
      </c>
    </row>
    <row r="395" spans="1:15" ht="75" x14ac:dyDescent="0.25">
      <c r="A395">
        <v>8740</v>
      </c>
      <c r="B395" s="24">
        <v>5</v>
      </c>
      <c r="C395" s="29" t="s">
        <v>348</v>
      </c>
      <c r="D395">
        <v>2016</v>
      </c>
      <c r="E395" s="24">
        <v>47</v>
      </c>
      <c r="F395" s="25">
        <v>13.96</v>
      </c>
      <c r="G395" s="24">
        <v>17</v>
      </c>
      <c r="H395" s="26">
        <v>-26.333100000000002</v>
      </c>
      <c r="I395" s="25">
        <v>32.473599999999998</v>
      </c>
      <c r="J395" s="26" t="s">
        <v>355</v>
      </c>
      <c r="K395" s="24">
        <v>3.9</v>
      </c>
      <c r="L395" s="26">
        <v>3</v>
      </c>
      <c r="M395" s="26">
        <v>144</v>
      </c>
      <c r="N395" s="27" t="s">
        <v>26</v>
      </c>
      <c r="O395" s="28" t="s">
        <v>366</v>
      </c>
    </row>
    <row r="396" spans="1:15" ht="45" x14ac:dyDescent="0.25">
      <c r="A396">
        <v>8741</v>
      </c>
      <c r="B396" s="24">
        <v>5</v>
      </c>
      <c r="C396" s="29" t="s">
        <v>348</v>
      </c>
      <c r="D396">
        <v>2016</v>
      </c>
      <c r="E396" s="24">
        <v>43</v>
      </c>
      <c r="F396" s="25">
        <v>24.53</v>
      </c>
      <c r="G396" s="24">
        <v>20</v>
      </c>
      <c r="H396" s="26">
        <v>36.040799999999997</v>
      </c>
      <c r="I396" s="25">
        <v>3.8576999999999999</v>
      </c>
      <c r="J396" s="26" t="s">
        <v>355</v>
      </c>
      <c r="K396" s="36">
        <v>4</v>
      </c>
      <c r="L396" s="26">
        <v>4.0999999999999996</v>
      </c>
      <c r="M396" s="26">
        <v>171</v>
      </c>
      <c r="N396" s="27" t="s">
        <v>10</v>
      </c>
      <c r="O396" s="28" t="s">
        <v>367</v>
      </c>
    </row>
    <row r="397" spans="1:15" ht="30" x14ac:dyDescent="0.25">
      <c r="A397">
        <v>8742</v>
      </c>
      <c r="B397" s="24">
        <v>6</v>
      </c>
      <c r="C397" s="29" t="s">
        <v>348</v>
      </c>
      <c r="D397">
        <v>2016</v>
      </c>
      <c r="E397" s="24">
        <v>42</v>
      </c>
      <c r="F397" s="25">
        <v>36.83</v>
      </c>
      <c r="G397" s="24">
        <v>4</v>
      </c>
      <c r="H397" s="26">
        <v>33.5122</v>
      </c>
      <c r="I397" s="25">
        <v>10.323700000000001</v>
      </c>
      <c r="J397" s="26" t="s">
        <v>355</v>
      </c>
      <c r="K397" s="36">
        <v>3.9</v>
      </c>
      <c r="L397" s="26">
        <v>3.4</v>
      </c>
      <c r="M397" s="26">
        <v>68</v>
      </c>
      <c r="N397" s="27" t="s">
        <v>2</v>
      </c>
      <c r="O397" s="28" t="s">
        <v>368</v>
      </c>
    </row>
    <row r="398" spans="1:15" ht="45" x14ac:dyDescent="0.25">
      <c r="A398">
        <v>8743</v>
      </c>
      <c r="B398" s="8">
        <v>6</v>
      </c>
      <c r="C398" s="21" t="s">
        <v>348</v>
      </c>
      <c r="D398">
        <v>2016</v>
      </c>
      <c r="E398" s="8">
        <v>58</v>
      </c>
      <c r="F398" s="9">
        <v>53.53</v>
      </c>
      <c r="G398" s="8">
        <v>15</v>
      </c>
      <c r="H398" s="11">
        <v>12.7309</v>
      </c>
      <c r="I398" s="9">
        <v>0.34960000000000002</v>
      </c>
      <c r="J398" s="11" t="s">
        <v>355</v>
      </c>
      <c r="K398" s="38">
        <v>4.2</v>
      </c>
      <c r="L398" s="11"/>
      <c r="M398" s="11">
        <v>131</v>
      </c>
      <c r="N398" s="12" t="s">
        <v>15</v>
      </c>
      <c r="O398" s="13" t="s">
        <v>369</v>
      </c>
    </row>
    <row r="399" spans="1:15" ht="90" x14ac:dyDescent="0.25">
      <c r="A399">
        <v>8744</v>
      </c>
      <c r="B399" s="24">
        <v>7</v>
      </c>
      <c r="C399" s="29" t="s">
        <v>348</v>
      </c>
      <c r="D399">
        <v>2016</v>
      </c>
      <c r="E399" s="24">
        <v>14</v>
      </c>
      <c r="F399" s="25">
        <v>30.33</v>
      </c>
      <c r="G399" s="24">
        <v>3</v>
      </c>
      <c r="H399" s="26">
        <v>-30.7607</v>
      </c>
      <c r="I399" s="25">
        <v>54.046399999999998</v>
      </c>
      <c r="J399" s="26" t="s">
        <v>355</v>
      </c>
      <c r="K399" s="24">
        <v>4</v>
      </c>
      <c r="L399" s="26"/>
      <c r="M399" s="26">
        <v>12</v>
      </c>
      <c r="N399" s="27" t="s">
        <v>24</v>
      </c>
      <c r="O399" s="28" t="s">
        <v>370</v>
      </c>
    </row>
    <row r="400" spans="1:15" ht="60" x14ac:dyDescent="0.25">
      <c r="A400">
        <v>8745</v>
      </c>
      <c r="B400" s="24">
        <v>7</v>
      </c>
      <c r="C400" s="29" t="s">
        <v>348</v>
      </c>
      <c r="D400">
        <v>2016</v>
      </c>
      <c r="E400" s="24">
        <v>20</v>
      </c>
      <c r="F400" s="40">
        <v>23.5</v>
      </c>
      <c r="G400" s="24">
        <v>15</v>
      </c>
      <c r="H400" s="26">
        <v>-28.783799999999999</v>
      </c>
      <c r="I400" s="25">
        <v>28.425899999999999</v>
      </c>
      <c r="J400" s="26" t="s">
        <v>355</v>
      </c>
      <c r="K400" s="24">
        <v>4.3</v>
      </c>
      <c r="L400" s="32">
        <v>2</v>
      </c>
      <c r="M400" s="26">
        <v>13</v>
      </c>
      <c r="N400" s="27" t="s">
        <v>6</v>
      </c>
      <c r="O400" s="28" t="s">
        <v>371</v>
      </c>
    </row>
    <row r="401" spans="1:15" ht="105" x14ac:dyDescent="0.25">
      <c r="A401">
        <v>8746</v>
      </c>
      <c r="B401" s="24">
        <v>7</v>
      </c>
      <c r="C401" s="29" t="s">
        <v>348</v>
      </c>
      <c r="D401">
        <v>2016</v>
      </c>
      <c r="E401" s="24">
        <v>14</v>
      </c>
      <c r="F401" s="25">
        <v>25.73</v>
      </c>
      <c r="G401" s="24">
        <v>17</v>
      </c>
      <c r="H401" s="26">
        <v>27.031400000000001</v>
      </c>
      <c r="I401" s="25">
        <v>32.716500000000003</v>
      </c>
      <c r="J401" s="26" t="s">
        <v>355</v>
      </c>
      <c r="K401" s="24">
        <v>3.4</v>
      </c>
      <c r="L401" s="26"/>
      <c r="M401" s="26">
        <v>170</v>
      </c>
      <c r="N401" s="27" t="s">
        <v>72</v>
      </c>
      <c r="O401" s="28" t="s">
        <v>372</v>
      </c>
    </row>
    <row r="402" spans="1:15" ht="75" x14ac:dyDescent="0.25">
      <c r="A402">
        <v>8747</v>
      </c>
      <c r="B402" s="24">
        <v>8</v>
      </c>
      <c r="C402" s="29" t="s">
        <v>348</v>
      </c>
      <c r="D402">
        <v>2016</v>
      </c>
      <c r="E402" s="24">
        <v>55</v>
      </c>
      <c r="F402" s="25">
        <v>23.37</v>
      </c>
      <c r="G402" s="24">
        <v>14</v>
      </c>
      <c r="H402" s="26">
        <v>-17.430700000000002</v>
      </c>
      <c r="I402" s="25">
        <v>11.3726</v>
      </c>
      <c r="J402" s="26" t="s">
        <v>355</v>
      </c>
      <c r="K402" s="24">
        <v>4.4000000000000004</v>
      </c>
      <c r="L402" s="26"/>
      <c r="M402" s="26">
        <v>100</v>
      </c>
      <c r="N402" s="27" t="s">
        <v>291</v>
      </c>
      <c r="O402" s="28" t="s">
        <v>373</v>
      </c>
    </row>
    <row r="403" spans="1:15" ht="45" x14ac:dyDescent="0.25">
      <c r="A403">
        <v>8748</v>
      </c>
      <c r="B403" s="8">
        <v>8</v>
      </c>
      <c r="C403" s="21" t="s">
        <v>348</v>
      </c>
      <c r="D403">
        <v>2016</v>
      </c>
      <c r="E403" s="8">
        <v>54</v>
      </c>
      <c r="F403" s="9">
        <v>31.03</v>
      </c>
      <c r="G403" s="8">
        <v>15</v>
      </c>
      <c r="H403" s="11">
        <v>13.1386</v>
      </c>
      <c r="I403" s="9">
        <v>1.6874</v>
      </c>
      <c r="J403" s="11" t="s">
        <v>355</v>
      </c>
      <c r="K403" s="8">
        <v>4.0999999999999996</v>
      </c>
      <c r="L403" s="11"/>
      <c r="M403" s="11">
        <v>38</v>
      </c>
      <c r="N403" s="12" t="s">
        <v>15</v>
      </c>
      <c r="O403" s="13" t="s">
        <v>352</v>
      </c>
    </row>
    <row r="404" spans="1:15" ht="45" x14ac:dyDescent="0.25">
      <c r="A404">
        <v>8749</v>
      </c>
      <c r="B404" s="8">
        <v>8</v>
      </c>
      <c r="C404" s="21" t="s">
        <v>348</v>
      </c>
      <c r="D404">
        <v>2016</v>
      </c>
      <c r="E404" s="8">
        <v>7</v>
      </c>
      <c r="F404" s="9">
        <v>32.35</v>
      </c>
      <c r="G404" s="8">
        <v>16</v>
      </c>
      <c r="H404" s="11">
        <v>9.8773</v>
      </c>
      <c r="I404" s="9">
        <v>-3.7776999999999998</v>
      </c>
      <c r="J404" s="11" t="s">
        <v>355</v>
      </c>
      <c r="K404" s="8"/>
      <c r="L404" s="11">
        <v>1.9</v>
      </c>
      <c r="M404" s="11">
        <v>122</v>
      </c>
      <c r="N404" s="12" t="s">
        <v>15</v>
      </c>
      <c r="O404" s="13" t="s">
        <v>374</v>
      </c>
    </row>
    <row r="405" spans="1:15" ht="45" x14ac:dyDescent="0.25">
      <c r="A405">
        <v>8750</v>
      </c>
      <c r="B405" s="8">
        <v>10</v>
      </c>
      <c r="C405" s="21" t="s">
        <v>348</v>
      </c>
      <c r="D405">
        <v>2016</v>
      </c>
      <c r="E405" s="8">
        <v>16</v>
      </c>
      <c r="F405" s="9">
        <v>54.27</v>
      </c>
      <c r="G405" s="8">
        <v>2</v>
      </c>
      <c r="H405" s="11">
        <v>4.0553999999999997</v>
      </c>
      <c r="I405" s="9">
        <v>7.9204999999999997</v>
      </c>
      <c r="J405" s="11" t="s">
        <v>355</v>
      </c>
      <c r="K405" s="8">
        <v>3.8</v>
      </c>
      <c r="L405" s="11">
        <v>2.9</v>
      </c>
      <c r="M405" s="11">
        <v>23</v>
      </c>
      <c r="N405" s="12" t="s">
        <v>15</v>
      </c>
      <c r="O405" s="13" t="s">
        <v>375</v>
      </c>
    </row>
    <row r="406" spans="1:15" ht="90" x14ac:dyDescent="0.25">
      <c r="A406">
        <v>8751</v>
      </c>
      <c r="B406" s="24">
        <v>10</v>
      </c>
      <c r="C406" s="29" t="s">
        <v>348</v>
      </c>
      <c r="D406">
        <v>2016</v>
      </c>
      <c r="E406" s="24">
        <v>14</v>
      </c>
      <c r="F406" s="25">
        <v>53.6</v>
      </c>
      <c r="G406" s="24">
        <v>9</v>
      </c>
      <c r="H406" s="26">
        <v>18.422000000000001</v>
      </c>
      <c r="I406" s="25">
        <v>38.940199999999997</v>
      </c>
      <c r="J406" s="26" t="s">
        <v>355</v>
      </c>
      <c r="K406" s="24">
        <v>3.9</v>
      </c>
      <c r="L406" s="26"/>
      <c r="M406" s="26">
        <v>11</v>
      </c>
      <c r="N406" s="27" t="s">
        <v>117</v>
      </c>
      <c r="O406" s="28" t="s">
        <v>376</v>
      </c>
    </row>
    <row r="407" spans="1:15" ht="60" x14ac:dyDescent="0.25">
      <c r="A407">
        <v>8752</v>
      </c>
      <c r="B407" s="24">
        <v>10</v>
      </c>
      <c r="C407" s="29" t="s">
        <v>348</v>
      </c>
      <c r="D407">
        <v>2016</v>
      </c>
      <c r="E407" s="24">
        <v>41</v>
      </c>
      <c r="F407" s="25">
        <v>13.43</v>
      </c>
      <c r="G407" s="24">
        <v>18</v>
      </c>
      <c r="H407" s="26">
        <v>-28.6328</v>
      </c>
      <c r="I407" s="25">
        <v>25.295300000000001</v>
      </c>
      <c r="J407" s="26" t="s">
        <v>355</v>
      </c>
      <c r="K407" s="24">
        <v>4.2</v>
      </c>
      <c r="L407" s="26"/>
      <c r="M407" s="26">
        <v>118</v>
      </c>
      <c r="N407" s="27" t="s">
        <v>6</v>
      </c>
      <c r="O407" s="28" t="s">
        <v>30</v>
      </c>
    </row>
    <row r="408" spans="1:15" ht="60" x14ac:dyDescent="0.25">
      <c r="A408">
        <v>8753</v>
      </c>
      <c r="B408" s="24">
        <v>11</v>
      </c>
      <c r="C408" s="29" t="s">
        <v>348</v>
      </c>
      <c r="D408">
        <v>2016</v>
      </c>
      <c r="E408" s="24">
        <v>19</v>
      </c>
      <c r="F408" s="40">
        <v>15.7</v>
      </c>
      <c r="G408" s="24">
        <v>4</v>
      </c>
      <c r="H408" s="26">
        <v>-28.940200000000001</v>
      </c>
      <c r="I408" s="25">
        <v>23.672599999999999</v>
      </c>
      <c r="J408" s="26" t="s">
        <v>355</v>
      </c>
      <c r="K408" s="24">
        <v>3.6</v>
      </c>
      <c r="L408" s="26"/>
      <c r="M408" s="26">
        <v>163</v>
      </c>
      <c r="N408" s="27" t="s">
        <v>6</v>
      </c>
      <c r="O408" s="28" t="s">
        <v>273</v>
      </c>
    </row>
    <row r="409" spans="1:15" ht="60" x14ac:dyDescent="0.25">
      <c r="A409">
        <v>8754</v>
      </c>
      <c r="B409" s="24">
        <v>12</v>
      </c>
      <c r="C409" s="29" t="s">
        <v>348</v>
      </c>
      <c r="D409">
        <v>2016</v>
      </c>
      <c r="E409" s="24">
        <v>50</v>
      </c>
      <c r="F409" s="40">
        <v>47.97</v>
      </c>
      <c r="G409" s="24">
        <v>12</v>
      </c>
      <c r="H409" s="26">
        <v>34.392200000000003</v>
      </c>
      <c r="I409" s="25">
        <v>9.7263999999999999</v>
      </c>
      <c r="J409" s="26" t="s">
        <v>355</v>
      </c>
      <c r="K409" s="24">
        <v>3.7</v>
      </c>
      <c r="L409" s="26"/>
      <c r="M409" s="26">
        <v>42</v>
      </c>
      <c r="N409" s="27" t="s">
        <v>2</v>
      </c>
      <c r="O409" s="28" t="s">
        <v>377</v>
      </c>
    </row>
    <row r="410" spans="1:15" ht="75" x14ac:dyDescent="0.25">
      <c r="A410">
        <v>8755</v>
      </c>
      <c r="B410" s="24">
        <v>12</v>
      </c>
      <c r="C410" s="29" t="s">
        <v>348</v>
      </c>
      <c r="D410">
        <v>2016</v>
      </c>
      <c r="E410" s="24">
        <v>54</v>
      </c>
      <c r="F410" s="25">
        <v>5.76</v>
      </c>
      <c r="G410" s="24">
        <v>14</v>
      </c>
      <c r="H410" s="26">
        <v>-11.615500000000001</v>
      </c>
      <c r="I410" s="25">
        <v>40.409700000000001</v>
      </c>
      <c r="J410" s="26" t="s">
        <v>355</v>
      </c>
      <c r="K410" s="36">
        <v>4</v>
      </c>
      <c r="L410" s="26"/>
      <c r="M410" s="26">
        <v>145</v>
      </c>
      <c r="N410" s="27" t="s">
        <v>26</v>
      </c>
      <c r="O410" s="28" t="s">
        <v>378</v>
      </c>
    </row>
    <row r="411" spans="1:15" ht="45" x14ac:dyDescent="0.25">
      <c r="A411">
        <v>8756</v>
      </c>
      <c r="B411" s="24">
        <v>12</v>
      </c>
      <c r="C411" s="29" t="s">
        <v>348</v>
      </c>
      <c r="D411">
        <v>2016</v>
      </c>
      <c r="E411" s="24">
        <v>42</v>
      </c>
      <c r="F411" s="25">
        <v>23.57</v>
      </c>
      <c r="G411" s="24">
        <v>16</v>
      </c>
      <c r="H411" s="26">
        <v>29.241299999999999</v>
      </c>
      <c r="I411" s="25">
        <v>15.3203</v>
      </c>
      <c r="J411" s="26" t="s">
        <v>355</v>
      </c>
      <c r="K411" s="36">
        <v>4.2</v>
      </c>
      <c r="L411" s="26"/>
      <c r="M411" s="26">
        <v>86</v>
      </c>
      <c r="N411" s="27" t="s">
        <v>48</v>
      </c>
      <c r="O411" s="28" t="s">
        <v>353</v>
      </c>
    </row>
    <row r="412" spans="1:15" ht="45" x14ac:dyDescent="0.25">
      <c r="A412">
        <v>8757</v>
      </c>
      <c r="B412" s="24">
        <v>13</v>
      </c>
      <c r="C412" s="29" t="s">
        <v>348</v>
      </c>
      <c r="D412">
        <v>2016</v>
      </c>
      <c r="E412" s="24">
        <v>49</v>
      </c>
      <c r="F412" s="25">
        <v>6.39</v>
      </c>
      <c r="G412" s="24">
        <v>1</v>
      </c>
      <c r="H412" s="26">
        <v>-1.4272</v>
      </c>
      <c r="I412" s="25">
        <v>38.566400000000002</v>
      </c>
      <c r="J412" s="26" t="s">
        <v>1</v>
      </c>
      <c r="K412" s="24">
        <v>4.5</v>
      </c>
      <c r="L412" s="26"/>
      <c r="M412" s="26">
        <v>27</v>
      </c>
      <c r="N412" s="27" t="s">
        <v>13</v>
      </c>
      <c r="O412" s="28" t="s">
        <v>379</v>
      </c>
    </row>
    <row r="413" spans="1:15" ht="45" x14ac:dyDescent="0.25">
      <c r="A413">
        <v>8758</v>
      </c>
      <c r="B413" s="24">
        <v>13</v>
      </c>
      <c r="C413" s="29" t="s">
        <v>348</v>
      </c>
      <c r="D413">
        <v>2016</v>
      </c>
      <c r="E413" s="24">
        <v>41</v>
      </c>
      <c r="F413" s="25">
        <v>16.89</v>
      </c>
      <c r="G413" s="24">
        <v>11</v>
      </c>
      <c r="H413" s="26">
        <v>0.21479999999999999</v>
      </c>
      <c r="I413" s="25">
        <v>37.590499999999999</v>
      </c>
      <c r="J413" s="26" t="s">
        <v>1</v>
      </c>
      <c r="K413" s="24">
        <v>4.5</v>
      </c>
      <c r="L413" s="26"/>
      <c r="M413" s="26">
        <v>95</v>
      </c>
      <c r="N413" s="27" t="s">
        <v>13</v>
      </c>
      <c r="O413" s="28" t="s">
        <v>380</v>
      </c>
    </row>
    <row r="414" spans="1:15" ht="60" x14ac:dyDescent="0.25">
      <c r="A414">
        <v>8759</v>
      </c>
      <c r="B414" s="24">
        <v>14</v>
      </c>
      <c r="C414" s="29" t="s">
        <v>348</v>
      </c>
      <c r="D414">
        <v>2016</v>
      </c>
      <c r="E414" s="24">
        <v>38</v>
      </c>
      <c r="F414" s="25">
        <v>19.559999999999999</v>
      </c>
      <c r="G414" s="24">
        <v>1</v>
      </c>
      <c r="H414" s="26">
        <v>-32.012500000000003</v>
      </c>
      <c r="I414" s="25">
        <v>28.6281</v>
      </c>
      <c r="J414" s="26" t="s">
        <v>1</v>
      </c>
      <c r="K414" s="24">
        <v>4.5</v>
      </c>
      <c r="L414" s="26"/>
      <c r="M414" s="26">
        <v>73</v>
      </c>
      <c r="N414" s="27" t="s">
        <v>6</v>
      </c>
      <c r="O414" s="28" t="s">
        <v>381</v>
      </c>
    </row>
    <row r="415" spans="1:15" ht="60" x14ac:dyDescent="0.25">
      <c r="A415">
        <v>8760</v>
      </c>
      <c r="B415" s="24">
        <v>14</v>
      </c>
      <c r="C415" s="29" t="s">
        <v>348</v>
      </c>
      <c r="D415">
        <v>2016</v>
      </c>
      <c r="E415" s="24">
        <v>47</v>
      </c>
      <c r="F415" s="25">
        <v>31.07</v>
      </c>
      <c r="G415" s="24">
        <v>1</v>
      </c>
      <c r="H415" s="33">
        <v>-17.350000000000001</v>
      </c>
      <c r="I415" s="37">
        <v>47.665999999999997</v>
      </c>
      <c r="J415" s="26" t="s">
        <v>1</v>
      </c>
      <c r="K415" s="24">
        <v>4.2</v>
      </c>
      <c r="L415" s="26"/>
      <c r="M415" s="26">
        <v>16</v>
      </c>
      <c r="N415" s="27" t="s">
        <v>177</v>
      </c>
      <c r="O415" s="28" t="s">
        <v>382</v>
      </c>
    </row>
    <row r="416" spans="1:15" ht="60" x14ac:dyDescent="0.25">
      <c r="A416">
        <v>8761</v>
      </c>
      <c r="B416" s="24">
        <v>14</v>
      </c>
      <c r="C416" s="29" t="s">
        <v>348</v>
      </c>
      <c r="D416">
        <v>2016</v>
      </c>
      <c r="E416" s="24">
        <v>38</v>
      </c>
      <c r="F416" s="25">
        <v>31.12</v>
      </c>
      <c r="G416" s="24">
        <v>2</v>
      </c>
      <c r="H416" s="33">
        <v>-33.305599999999998</v>
      </c>
      <c r="I416" s="37">
        <v>24.671099999999999</v>
      </c>
      <c r="J416" s="26" t="s">
        <v>1</v>
      </c>
      <c r="K416" s="24">
        <v>4.2</v>
      </c>
      <c r="L416" s="26">
        <v>2.1</v>
      </c>
      <c r="M416" s="26">
        <v>99</v>
      </c>
      <c r="N416" s="27" t="s">
        <v>6</v>
      </c>
      <c r="O416" s="28" t="s">
        <v>383</v>
      </c>
    </row>
    <row r="417" spans="1:15" ht="30" x14ac:dyDescent="0.25">
      <c r="A417">
        <v>8762</v>
      </c>
      <c r="B417" s="24">
        <v>14</v>
      </c>
      <c r="C417" s="29" t="s">
        <v>348</v>
      </c>
      <c r="D417">
        <v>2016</v>
      </c>
      <c r="E417" s="24">
        <v>50</v>
      </c>
      <c r="F417" s="25">
        <v>55.56</v>
      </c>
      <c r="G417" s="24">
        <v>14</v>
      </c>
      <c r="H417" s="33">
        <v>36.500900000000001</v>
      </c>
      <c r="I417" s="37">
        <v>9.56</v>
      </c>
      <c r="J417" s="26" t="s">
        <v>1</v>
      </c>
      <c r="K417" s="24">
        <v>3.4</v>
      </c>
      <c r="L417" s="26"/>
      <c r="M417" s="26">
        <v>92</v>
      </c>
      <c r="N417" s="27" t="s">
        <v>2</v>
      </c>
      <c r="O417" s="28" t="s">
        <v>384</v>
      </c>
    </row>
    <row r="418" spans="1:15" ht="45" x14ac:dyDescent="0.25">
      <c r="A418">
        <v>8763</v>
      </c>
      <c r="B418" s="24">
        <v>14</v>
      </c>
      <c r="C418" s="29" t="s">
        <v>348</v>
      </c>
      <c r="D418">
        <v>2016</v>
      </c>
      <c r="E418" s="24">
        <v>18</v>
      </c>
      <c r="F418" s="25">
        <v>26.47</v>
      </c>
      <c r="G418" s="24">
        <v>19</v>
      </c>
      <c r="H418" s="26">
        <v>3.3148</v>
      </c>
      <c r="I418" s="25">
        <v>44.156500000000001</v>
      </c>
      <c r="J418" s="26" t="s">
        <v>1</v>
      </c>
      <c r="K418" s="24">
        <v>4.2</v>
      </c>
      <c r="L418" s="26"/>
      <c r="M418" s="26">
        <v>174</v>
      </c>
      <c r="N418" s="27" t="s">
        <v>385</v>
      </c>
      <c r="O418" s="28" t="s">
        <v>386</v>
      </c>
    </row>
    <row r="419" spans="1:15" ht="60" x14ac:dyDescent="0.25">
      <c r="A419">
        <v>8764</v>
      </c>
      <c r="B419" s="24">
        <v>15</v>
      </c>
      <c r="C419" s="29" t="s">
        <v>348</v>
      </c>
      <c r="D419">
        <v>2016</v>
      </c>
      <c r="E419" s="24">
        <v>48</v>
      </c>
      <c r="F419" s="25">
        <v>13.77</v>
      </c>
      <c r="G419" s="24">
        <v>6</v>
      </c>
      <c r="H419" s="26">
        <v>33.5107</v>
      </c>
      <c r="I419" s="25">
        <v>-6.2544000000000004</v>
      </c>
      <c r="J419" s="26" t="s">
        <v>1</v>
      </c>
      <c r="K419" s="36">
        <v>4</v>
      </c>
      <c r="L419" s="26"/>
      <c r="M419" s="26">
        <v>138</v>
      </c>
      <c r="N419" s="27" t="s">
        <v>28</v>
      </c>
      <c r="O419" s="28" t="s">
        <v>387</v>
      </c>
    </row>
    <row r="420" spans="1:15" ht="45" x14ac:dyDescent="0.25">
      <c r="A420">
        <v>8765</v>
      </c>
      <c r="B420" s="8">
        <v>15</v>
      </c>
      <c r="C420" s="21" t="s">
        <v>348</v>
      </c>
      <c r="D420">
        <v>2016</v>
      </c>
      <c r="E420" s="8">
        <v>49</v>
      </c>
      <c r="F420" s="9">
        <v>33.880000000000003</v>
      </c>
      <c r="G420" s="8">
        <v>16</v>
      </c>
      <c r="H420" s="11">
        <v>6.4382000000000001</v>
      </c>
      <c r="I420" s="9">
        <v>-4.2855999999999996</v>
      </c>
      <c r="J420" s="11" t="s">
        <v>1</v>
      </c>
      <c r="K420" s="38"/>
      <c r="L420" s="11"/>
      <c r="M420" s="11">
        <v>24</v>
      </c>
      <c r="N420" s="12" t="s">
        <v>15</v>
      </c>
      <c r="O420" s="13" t="s">
        <v>388</v>
      </c>
    </row>
    <row r="421" spans="1:15" ht="105" x14ac:dyDescent="0.25">
      <c r="A421">
        <v>8766</v>
      </c>
      <c r="B421" s="24">
        <v>15</v>
      </c>
      <c r="C421" s="29" t="s">
        <v>348</v>
      </c>
      <c r="D421">
        <v>2016</v>
      </c>
      <c r="E421" s="24">
        <v>17</v>
      </c>
      <c r="F421" s="25">
        <v>52.12</v>
      </c>
      <c r="G421" s="24">
        <v>20</v>
      </c>
      <c r="H421" s="26">
        <v>-19.0459</v>
      </c>
      <c r="I421" s="25">
        <v>31.171700000000001</v>
      </c>
      <c r="J421" s="26" t="s">
        <v>1</v>
      </c>
      <c r="K421" s="24">
        <v>4.2</v>
      </c>
      <c r="L421" s="26"/>
      <c r="M421" s="26">
        <v>76</v>
      </c>
      <c r="N421" s="27" t="s">
        <v>237</v>
      </c>
      <c r="O421" s="28" t="s">
        <v>389</v>
      </c>
    </row>
    <row r="422" spans="1:15" ht="45" x14ac:dyDescent="0.25">
      <c r="A422">
        <v>8767</v>
      </c>
      <c r="B422" s="8">
        <v>15</v>
      </c>
      <c r="C422" s="21" t="s">
        <v>348</v>
      </c>
      <c r="D422">
        <v>2016</v>
      </c>
      <c r="E422" s="8">
        <v>50</v>
      </c>
      <c r="F422" s="9">
        <v>28.46</v>
      </c>
      <c r="G422" s="8">
        <v>23</v>
      </c>
      <c r="H422" s="11">
        <v>13.1929</v>
      </c>
      <c r="I422" s="35">
        <v>2.25</v>
      </c>
      <c r="J422" s="11" t="s">
        <v>1</v>
      </c>
      <c r="K422" s="8">
        <v>3.9</v>
      </c>
      <c r="L422" s="11"/>
      <c r="M422" s="11">
        <v>154</v>
      </c>
      <c r="N422" s="12" t="s">
        <v>15</v>
      </c>
      <c r="O422" s="13" t="s">
        <v>352</v>
      </c>
    </row>
    <row r="423" spans="1:15" ht="45" x14ac:dyDescent="0.25">
      <c r="A423">
        <v>8768</v>
      </c>
      <c r="B423" s="8">
        <v>16</v>
      </c>
      <c r="C423" s="21" t="s">
        <v>348</v>
      </c>
      <c r="D423">
        <v>2016</v>
      </c>
      <c r="E423" s="8">
        <v>9</v>
      </c>
      <c r="F423" s="9">
        <v>40.36</v>
      </c>
      <c r="G423" s="8">
        <v>4</v>
      </c>
      <c r="H423" s="11">
        <v>5.4747000000000003</v>
      </c>
      <c r="I423" s="9">
        <v>-3.0516000000000001</v>
      </c>
      <c r="J423" s="11" t="s">
        <v>1</v>
      </c>
      <c r="K423" s="8"/>
      <c r="L423" s="11">
        <v>2.8</v>
      </c>
      <c r="M423" s="11">
        <v>178</v>
      </c>
      <c r="N423" s="12" t="s">
        <v>15</v>
      </c>
      <c r="O423" s="13" t="s">
        <v>390</v>
      </c>
    </row>
    <row r="424" spans="1:15" ht="45" x14ac:dyDescent="0.25">
      <c r="A424">
        <v>8769</v>
      </c>
      <c r="B424" s="8">
        <v>16</v>
      </c>
      <c r="C424" s="21" t="s">
        <v>348</v>
      </c>
      <c r="D424">
        <v>2016</v>
      </c>
      <c r="E424" s="8">
        <v>29</v>
      </c>
      <c r="F424" s="9">
        <v>11.07</v>
      </c>
      <c r="G424" s="8">
        <v>9</v>
      </c>
      <c r="H424" s="11">
        <v>7.6845999999999997</v>
      </c>
      <c r="I424" s="9">
        <v>-3.8300999999999998</v>
      </c>
      <c r="J424" s="11" t="s">
        <v>1</v>
      </c>
      <c r="K424" s="8"/>
      <c r="L424" s="11"/>
      <c r="M424" s="11">
        <v>135</v>
      </c>
      <c r="N424" s="12" t="s">
        <v>15</v>
      </c>
      <c r="O424" s="13" t="s">
        <v>250</v>
      </c>
    </row>
    <row r="425" spans="1:15" ht="60" x14ac:dyDescent="0.25">
      <c r="A425">
        <v>8770</v>
      </c>
      <c r="B425" s="24">
        <v>16</v>
      </c>
      <c r="C425" s="29" t="s">
        <v>348</v>
      </c>
      <c r="D425">
        <v>2016</v>
      </c>
      <c r="E425" s="24">
        <v>26</v>
      </c>
      <c r="F425" s="40">
        <v>49.3</v>
      </c>
      <c r="G425" s="24">
        <v>14</v>
      </c>
      <c r="H425" s="26">
        <v>-27.563800000000001</v>
      </c>
      <c r="I425" s="25">
        <v>26.124300000000002</v>
      </c>
      <c r="J425" s="26" t="s">
        <v>1</v>
      </c>
      <c r="K425" s="24">
        <v>4.5</v>
      </c>
      <c r="L425" s="26"/>
      <c r="M425" s="26">
        <v>128</v>
      </c>
      <c r="N425" s="27" t="s">
        <v>6</v>
      </c>
      <c r="O425" s="28" t="s">
        <v>391</v>
      </c>
    </row>
    <row r="426" spans="1:15" ht="45" x14ac:dyDescent="0.25">
      <c r="A426">
        <v>8771</v>
      </c>
      <c r="B426" s="8">
        <v>16</v>
      </c>
      <c r="C426" s="21" t="s">
        <v>348</v>
      </c>
      <c r="D426">
        <v>2016</v>
      </c>
      <c r="E426" s="8">
        <v>28</v>
      </c>
      <c r="F426" s="43">
        <v>7.6</v>
      </c>
      <c r="G426" s="8">
        <v>15</v>
      </c>
      <c r="H426" s="11">
        <v>14.2898</v>
      </c>
      <c r="I426" s="9">
        <v>2.4741</v>
      </c>
      <c r="J426" s="26" t="s">
        <v>1</v>
      </c>
      <c r="K426" s="9">
        <v>4.2</v>
      </c>
      <c r="L426" s="8"/>
      <c r="M426" s="11">
        <v>106</v>
      </c>
      <c r="N426" s="12" t="s">
        <v>15</v>
      </c>
      <c r="O426" s="13" t="s">
        <v>392</v>
      </c>
    </row>
    <row r="427" spans="1:15" ht="60" x14ac:dyDescent="0.25">
      <c r="A427">
        <v>8772</v>
      </c>
      <c r="B427" s="24">
        <v>17</v>
      </c>
      <c r="C427" s="29" t="s">
        <v>348</v>
      </c>
      <c r="D427">
        <v>2016</v>
      </c>
      <c r="E427" s="24">
        <v>3</v>
      </c>
      <c r="F427" s="25">
        <v>6.45</v>
      </c>
      <c r="G427" s="24">
        <v>7</v>
      </c>
      <c r="H427" s="26">
        <v>-0.44650000000000001</v>
      </c>
      <c r="I427" s="25">
        <v>39.061999999999998</v>
      </c>
      <c r="J427" s="26" t="s">
        <v>1</v>
      </c>
      <c r="K427" s="24">
        <v>4.0999999999999996</v>
      </c>
      <c r="L427" s="26"/>
      <c r="M427" s="26">
        <v>165</v>
      </c>
      <c r="N427" s="27" t="s">
        <v>13</v>
      </c>
      <c r="O427" s="28" t="s">
        <v>220</v>
      </c>
    </row>
    <row r="428" spans="1:15" ht="60" x14ac:dyDescent="0.25">
      <c r="A428">
        <v>8773</v>
      </c>
      <c r="B428" s="24">
        <v>17</v>
      </c>
      <c r="C428" s="29" t="s">
        <v>348</v>
      </c>
      <c r="D428">
        <v>2016</v>
      </c>
      <c r="E428" s="24">
        <v>42</v>
      </c>
      <c r="F428" s="25">
        <v>31.78</v>
      </c>
      <c r="G428" s="24">
        <v>23</v>
      </c>
      <c r="H428" s="26">
        <v>-29.515499999999999</v>
      </c>
      <c r="I428" s="25">
        <v>26.3948</v>
      </c>
      <c r="J428" s="26" t="s">
        <v>1</v>
      </c>
      <c r="K428" s="24">
        <v>4.0999999999999996</v>
      </c>
      <c r="L428" s="26"/>
      <c r="M428" s="26">
        <v>49</v>
      </c>
      <c r="N428" s="27" t="s">
        <v>6</v>
      </c>
      <c r="O428" s="28" t="s">
        <v>393</v>
      </c>
    </row>
    <row r="429" spans="1:15" ht="45" x14ac:dyDescent="0.25">
      <c r="A429">
        <v>8774</v>
      </c>
      <c r="B429" s="24">
        <v>18</v>
      </c>
      <c r="C429" s="29" t="s">
        <v>348</v>
      </c>
      <c r="D429">
        <v>2016</v>
      </c>
      <c r="E429" s="24">
        <v>42</v>
      </c>
      <c r="F429" s="25">
        <v>25.63</v>
      </c>
      <c r="G429" s="24">
        <v>7</v>
      </c>
      <c r="H429" s="26">
        <v>34.8583</v>
      </c>
      <c r="I429" s="25">
        <v>6.2538999999999998</v>
      </c>
      <c r="J429" s="26" t="s">
        <v>1</v>
      </c>
      <c r="K429" s="24">
        <v>4.5999999999999996</v>
      </c>
      <c r="L429" s="26">
        <v>4.7</v>
      </c>
      <c r="M429" s="26">
        <v>152</v>
      </c>
      <c r="N429" s="27" t="s">
        <v>10</v>
      </c>
      <c r="O429" s="28" t="s">
        <v>394</v>
      </c>
    </row>
    <row r="430" spans="1:15" ht="30" x14ac:dyDescent="0.25">
      <c r="A430">
        <v>8775</v>
      </c>
      <c r="B430" s="24">
        <v>18</v>
      </c>
      <c r="C430" s="29" t="s">
        <v>348</v>
      </c>
      <c r="D430">
        <v>2016</v>
      </c>
      <c r="E430" s="24">
        <v>42</v>
      </c>
      <c r="F430" s="25">
        <v>39.36</v>
      </c>
      <c r="G430" s="24">
        <v>7</v>
      </c>
      <c r="H430" s="26">
        <v>34.313499999999998</v>
      </c>
      <c r="I430" s="25">
        <v>8.1217000000000006</v>
      </c>
      <c r="J430" s="26" t="s">
        <v>1</v>
      </c>
      <c r="K430" s="24">
        <v>4.8</v>
      </c>
      <c r="L430" s="32">
        <v>5</v>
      </c>
      <c r="M430" s="26">
        <v>110</v>
      </c>
      <c r="N430" s="27" t="s">
        <v>2</v>
      </c>
      <c r="O430" s="28" t="s">
        <v>395</v>
      </c>
    </row>
    <row r="431" spans="1:15" ht="45" x14ac:dyDescent="0.25">
      <c r="A431">
        <v>8776</v>
      </c>
      <c r="B431" s="24">
        <v>18</v>
      </c>
      <c r="C431" s="29" t="s">
        <v>348</v>
      </c>
      <c r="D431">
        <v>2016</v>
      </c>
      <c r="E431" s="24">
        <v>8</v>
      </c>
      <c r="F431" s="25">
        <v>18.02</v>
      </c>
      <c r="G431" s="24">
        <v>12</v>
      </c>
      <c r="H431" s="26">
        <v>34.795400000000001</v>
      </c>
      <c r="I431" s="25">
        <v>6.2241</v>
      </c>
      <c r="J431" s="26" t="s">
        <v>1</v>
      </c>
      <c r="K431" s="24">
        <v>4.3</v>
      </c>
      <c r="L431" s="32">
        <v>4</v>
      </c>
      <c r="M431" s="26">
        <v>139</v>
      </c>
      <c r="N431" s="27" t="s">
        <v>10</v>
      </c>
      <c r="O431" s="28" t="s">
        <v>394</v>
      </c>
    </row>
    <row r="432" spans="1:15" ht="75" x14ac:dyDescent="0.25">
      <c r="A432">
        <v>8777</v>
      </c>
      <c r="B432" s="24">
        <v>18</v>
      </c>
      <c r="C432" s="29" t="s">
        <v>348</v>
      </c>
      <c r="D432">
        <v>2016</v>
      </c>
      <c r="E432" s="24">
        <v>40</v>
      </c>
      <c r="F432" s="25">
        <v>45.12</v>
      </c>
      <c r="G432" s="24">
        <v>14</v>
      </c>
      <c r="H432" s="26">
        <v>33.914900000000003</v>
      </c>
      <c r="I432" s="25">
        <v>-7.7784000000000004</v>
      </c>
      <c r="J432" s="26" t="s">
        <v>1</v>
      </c>
      <c r="K432" s="36">
        <v>4</v>
      </c>
      <c r="L432" s="26">
        <v>3.1</v>
      </c>
      <c r="M432" s="26">
        <v>168</v>
      </c>
      <c r="N432" s="27" t="s">
        <v>28</v>
      </c>
      <c r="O432" s="28" t="s">
        <v>396</v>
      </c>
    </row>
    <row r="433" spans="1:15" ht="60" x14ac:dyDescent="0.25">
      <c r="A433">
        <v>8778</v>
      </c>
      <c r="B433" s="24">
        <v>19</v>
      </c>
      <c r="C433" s="29" t="s">
        <v>348</v>
      </c>
      <c r="D433">
        <v>2016</v>
      </c>
      <c r="E433" s="24">
        <v>31</v>
      </c>
      <c r="F433" s="25">
        <v>35.64</v>
      </c>
      <c r="G433" s="24">
        <v>3</v>
      </c>
      <c r="H433" s="26">
        <v>-18.440200000000001</v>
      </c>
      <c r="I433" s="25">
        <v>34.303199999999997</v>
      </c>
      <c r="J433" s="26" t="s">
        <v>1</v>
      </c>
      <c r="K433" s="24">
        <v>4.2</v>
      </c>
      <c r="L433" s="26">
        <v>4.4000000000000004</v>
      </c>
      <c r="M433" s="26">
        <v>101</v>
      </c>
      <c r="N433" s="27" t="s">
        <v>26</v>
      </c>
      <c r="O433" s="28" t="s">
        <v>397</v>
      </c>
    </row>
    <row r="434" spans="1:15" ht="45" x14ac:dyDescent="0.25">
      <c r="A434">
        <v>8779</v>
      </c>
      <c r="B434" s="8">
        <v>19</v>
      </c>
      <c r="C434" s="21" t="s">
        <v>348</v>
      </c>
      <c r="D434">
        <v>2016</v>
      </c>
      <c r="E434" s="8">
        <v>24</v>
      </c>
      <c r="F434" s="9">
        <v>24.82</v>
      </c>
      <c r="G434" s="8">
        <v>7</v>
      </c>
      <c r="H434" s="11">
        <v>6.3792999999999997</v>
      </c>
      <c r="I434" s="9">
        <v>-6.2035999999999998</v>
      </c>
      <c r="J434" s="11" t="s">
        <v>1</v>
      </c>
      <c r="K434" s="38">
        <v>4</v>
      </c>
      <c r="L434" s="11"/>
      <c r="M434" s="11">
        <v>8</v>
      </c>
      <c r="N434" s="12" t="s">
        <v>15</v>
      </c>
      <c r="O434" s="13" t="s">
        <v>398</v>
      </c>
    </row>
    <row r="435" spans="1:15" ht="90" x14ac:dyDescent="0.25">
      <c r="A435">
        <v>8780</v>
      </c>
      <c r="B435" s="24">
        <v>19</v>
      </c>
      <c r="C435" s="29" t="s">
        <v>348</v>
      </c>
      <c r="D435">
        <v>2016</v>
      </c>
      <c r="E435" s="24">
        <v>12</v>
      </c>
      <c r="F435" s="25">
        <v>46.73</v>
      </c>
      <c r="G435" s="24">
        <v>16</v>
      </c>
      <c r="H435" s="26">
        <v>38.186100000000003</v>
      </c>
      <c r="I435" s="25">
        <v>31.217400000000001</v>
      </c>
      <c r="J435" s="26" t="s">
        <v>1</v>
      </c>
      <c r="K435" s="24">
        <v>4.3</v>
      </c>
      <c r="L435" s="26">
        <v>3.8</v>
      </c>
      <c r="M435" s="26">
        <v>175</v>
      </c>
      <c r="N435" s="27" t="s">
        <v>399</v>
      </c>
      <c r="O435" s="28" t="s">
        <v>400</v>
      </c>
    </row>
    <row r="436" spans="1:15" ht="90" x14ac:dyDescent="0.25">
      <c r="A436">
        <v>8781</v>
      </c>
      <c r="B436" s="24">
        <v>19</v>
      </c>
      <c r="C436" s="29" t="s">
        <v>348</v>
      </c>
      <c r="D436">
        <v>2016</v>
      </c>
      <c r="E436" s="24">
        <v>18</v>
      </c>
      <c r="F436" s="25">
        <v>51.61</v>
      </c>
      <c r="G436" s="24">
        <v>20</v>
      </c>
      <c r="H436" s="26">
        <v>37.513399999999997</v>
      </c>
      <c r="I436" s="25">
        <v>28.000599999999999</v>
      </c>
      <c r="J436" s="26" t="s">
        <v>1</v>
      </c>
      <c r="K436" s="36">
        <v>4</v>
      </c>
      <c r="L436" s="26">
        <v>2.9</v>
      </c>
      <c r="M436" s="26">
        <v>8</v>
      </c>
      <c r="N436" s="27" t="s">
        <v>399</v>
      </c>
      <c r="O436" s="28" t="s">
        <v>401</v>
      </c>
    </row>
    <row r="437" spans="1:15" ht="60" x14ac:dyDescent="0.25">
      <c r="A437">
        <v>8782</v>
      </c>
      <c r="B437" s="24">
        <v>19</v>
      </c>
      <c r="C437" s="29" t="s">
        <v>348</v>
      </c>
      <c r="D437">
        <v>2016</v>
      </c>
      <c r="E437" s="24">
        <v>7</v>
      </c>
      <c r="F437" s="25">
        <v>17.36</v>
      </c>
      <c r="G437" s="24">
        <v>23</v>
      </c>
      <c r="H437" s="26">
        <v>35.761800000000001</v>
      </c>
      <c r="I437" s="25">
        <v>7.6238000000000001</v>
      </c>
      <c r="J437" s="26" t="s">
        <v>1</v>
      </c>
      <c r="K437" s="24">
        <v>4.2</v>
      </c>
      <c r="L437" s="26"/>
      <c r="M437" s="26">
        <v>13</v>
      </c>
      <c r="N437" s="27" t="s">
        <v>10</v>
      </c>
      <c r="O437" s="28" t="s">
        <v>402</v>
      </c>
    </row>
    <row r="438" spans="1:15" ht="90" x14ac:dyDescent="0.25">
      <c r="A438">
        <v>8783</v>
      </c>
      <c r="B438" s="24">
        <v>19</v>
      </c>
      <c r="C438" s="29" t="s">
        <v>348</v>
      </c>
      <c r="D438">
        <v>2016</v>
      </c>
      <c r="E438" s="24">
        <v>27</v>
      </c>
      <c r="F438" s="25">
        <v>47.65</v>
      </c>
      <c r="G438" s="24">
        <v>23</v>
      </c>
      <c r="H438" s="26">
        <v>-30.2883</v>
      </c>
      <c r="I438" s="25">
        <v>45.516599999999997</v>
      </c>
      <c r="J438" s="26" t="s">
        <v>1</v>
      </c>
      <c r="K438" s="36">
        <v>4</v>
      </c>
      <c r="L438" s="24"/>
      <c r="M438" s="26">
        <v>75</v>
      </c>
      <c r="N438" s="27" t="s">
        <v>24</v>
      </c>
      <c r="O438" s="28" t="s">
        <v>403</v>
      </c>
    </row>
    <row r="439" spans="1:15" ht="75" x14ac:dyDescent="0.25">
      <c r="A439">
        <v>8784</v>
      </c>
      <c r="B439" s="24">
        <v>20</v>
      </c>
      <c r="C439" s="29" t="s">
        <v>348</v>
      </c>
      <c r="D439">
        <v>2016</v>
      </c>
      <c r="E439" s="24">
        <v>50</v>
      </c>
      <c r="F439" s="25">
        <v>55.61</v>
      </c>
      <c r="G439" s="24">
        <v>0</v>
      </c>
      <c r="H439" s="26">
        <v>-33.546700000000001</v>
      </c>
      <c r="I439" s="25">
        <v>33.156300000000002</v>
      </c>
      <c r="J439" s="26" t="s">
        <v>1</v>
      </c>
      <c r="K439" s="36">
        <v>4</v>
      </c>
      <c r="L439" s="26"/>
      <c r="M439" s="26">
        <v>32</v>
      </c>
      <c r="N439" s="27" t="s">
        <v>24</v>
      </c>
      <c r="O439" s="28" t="s">
        <v>404</v>
      </c>
    </row>
    <row r="440" spans="1:15" ht="60" x14ac:dyDescent="0.25">
      <c r="A440">
        <v>8785</v>
      </c>
      <c r="B440" s="24">
        <v>20</v>
      </c>
      <c r="C440" s="29" t="s">
        <v>348</v>
      </c>
      <c r="D440">
        <v>2016</v>
      </c>
      <c r="E440" s="24">
        <v>3</v>
      </c>
      <c r="F440" s="25">
        <v>11.01</v>
      </c>
      <c r="G440" s="24">
        <v>6</v>
      </c>
      <c r="H440" s="26">
        <v>27.518799999999999</v>
      </c>
      <c r="I440" s="25">
        <v>23.423400000000001</v>
      </c>
      <c r="J440" s="26" t="s">
        <v>1</v>
      </c>
      <c r="K440" s="24">
        <v>4.0999999999999996</v>
      </c>
      <c r="L440" s="26"/>
      <c r="M440" s="26">
        <v>89</v>
      </c>
      <c r="N440" s="27" t="s">
        <v>48</v>
      </c>
      <c r="O440" s="28" t="s">
        <v>185</v>
      </c>
    </row>
    <row r="441" spans="1:15" ht="45" x14ac:dyDescent="0.25">
      <c r="A441">
        <v>8786</v>
      </c>
      <c r="B441" s="24">
        <v>20</v>
      </c>
      <c r="C441" s="29" t="s">
        <v>348</v>
      </c>
      <c r="D441">
        <v>2016</v>
      </c>
      <c r="E441" s="24">
        <v>18</v>
      </c>
      <c r="F441" s="25">
        <v>29.44</v>
      </c>
      <c r="G441" s="24">
        <v>10</v>
      </c>
      <c r="H441" s="26">
        <v>31.827400000000001</v>
      </c>
      <c r="I441" s="25">
        <v>5.6181999999999999</v>
      </c>
      <c r="J441" s="26" t="s">
        <v>1</v>
      </c>
      <c r="K441" s="24">
        <v>3.6</v>
      </c>
      <c r="L441" s="26">
        <v>3.7</v>
      </c>
      <c r="M441" s="26">
        <v>15</v>
      </c>
      <c r="N441" s="27" t="s">
        <v>10</v>
      </c>
      <c r="O441" s="28" t="s">
        <v>405</v>
      </c>
    </row>
    <row r="442" spans="1:15" ht="75" x14ac:dyDescent="0.25">
      <c r="A442">
        <v>8787</v>
      </c>
      <c r="B442" s="24">
        <v>20</v>
      </c>
      <c r="C442" s="29" t="s">
        <v>348</v>
      </c>
      <c r="D442">
        <v>2016</v>
      </c>
      <c r="E442" s="24">
        <v>53</v>
      </c>
      <c r="F442" s="25">
        <v>40.71</v>
      </c>
      <c r="G442" s="24">
        <v>10</v>
      </c>
      <c r="H442" s="26">
        <v>34.098799999999997</v>
      </c>
      <c r="I442" s="37">
        <v>-5.3970000000000002</v>
      </c>
      <c r="J442" s="26" t="s">
        <v>1</v>
      </c>
      <c r="K442" s="24">
        <v>3.7</v>
      </c>
      <c r="L442" s="26"/>
      <c r="M442" s="26">
        <v>139</v>
      </c>
      <c r="N442" s="27" t="s">
        <v>28</v>
      </c>
      <c r="O442" s="28" t="s">
        <v>406</v>
      </c>
    </row>
    <row r="443" spans="1:15" ht="45" x14ac:dyDescent="0.25">
      <c r="A443">
        <v>8788</v>
      </c>
      <c r="B443" s="24">
        <v>20</v>
      </c>
      <c r="C443" s="29" t="s">
        <v>348</v>
      </c>
      <c r="D443">
        <v>2016</v>
      </c>
      <c r="E443" s="24">
        <v>27</v>
      </c>
      <c r="F443" s="25">
        <v>29.95</v>
      </c>
      <c r="G443" s="24">
        <v>12</v>
      </c>
      <c r="H443" s="26">
        <v>-0.56989999999999996</v>
      </c>
      <c r="I443" s="25">
        <v>38.593400000000003</v>
      </c>
      <c r="J443" s="26" t="s">
        <v>1</v>
      </c>
      <c r="K443" s="24">
        <v>4.3</v>
      </c>
      <c r="L443" s="26"/>
      <c r="M443" s="26">
        <v>158</v>
      </c>
      <c r="N443" s="27" t="s">
        <v>13</v>
      </c>
      <c r="O443" s="28" t="s">
        <v>379</v>
      </c>
    </row>
    <row r="444" spans="1:15" ht="90" x14ac:dyDescent="0.25">
      <c r="A444">
        <v>8789</v>
      </c>
      <c r="B444" s="24">
        <v>20</v>
      </c>
      <c r="C444" s="29" t="s">
        <v>348</v>
      </c>
      <c r="D444">
        <v>2016</v>
      </c>
      <c r="E444" s="24">
        <v>13</v>
      </c>
      <c r="F444" s="25">
        <v>42.76</v>
      </c>
      <c r="G444" s="24">
        <v>15</v>
      </c>
      <c r="H444" s="26">
        <v>-38.736800000000002</v>
      </c>
      <c r="I444" s="25">
        <v>16.085599999999999</v>
      </c>
      <c r="J444" s="26" t="s">
        <v>1</v>
      </c>
      <c r="K444" s="24">
        <v>4.4000000000000004</v>
      </c>
      <c r="L444" s="26"/>
      <c r="M444" s="26">
        <v>50</v>
      </c>
      <c r="N444" s="27" t="s">
        <v>407</v>
      </c>
      <c r="O444" s="28" t="s">
        <v>408</v>
      </c>
    </row>
    <row r="445" spans="1:15" ht="45" x14ac:dyDescent="0.25">
      <c r="A445">
        <v>8790</v>
      </c>
      <c r="B445" s="8">
        <v>20</v>
      </c>
      <c r="C445" s="21" t="s">
        <v>348</v>
      </c>
      <c r="D445">
        <v>2016</v>
      </c>
      <c r="E445" s="8">
        <v>7</v>
      </c>
      <c r="F445" s="9">
        <v>58.93</v>
      </c>
      <c r="G445" s="8">
        <v>17</v>
      </c>
      <c r="H445" s="31">
        <v>6.7560000000000002</v>
      </c>
      <c r="I445" s="9">
        <v>-4.8545999999999996</v>
      </c>
      <c r="J445" s="11" t="s">
        <v>1</v>
      </c>
      <c r="K445" s="8">
        <v>4.0999999999999996</v>
      </c>
      <c r="L445" s="11"/>
      <c r="M445" s="11">
        <v>1</v>
      </c>
      <c r="N445" s="12" t="s">
        <v>15</v>
      </c>
      <c r="O445" s="13" t="s">
        <v>288</v>
      </c>
    </row>
    <row r="446" spans="1:15" ht="30" x14ac:dyDescent="0.25">
      <c r="A446">
        <v>8791</v>
      </c>
      <c r="B446" s="24">
        <v>20</v>
      </c>
      <c r="C446" s="29" t="s">
        <v>348</v>
      </c>
      <c r="D446">
        <v>2016</v>
      </c>
      <c r="E446" s="24">
        <v>49</v>
      </c>
      <c r="F446" s="40">
        <v>39.299999999999997</v>
      </c>
      <c r="G446" s="24">
        <v>22</v>
      </c>
      <c r="H446" s="26">
        <v>18.272600000000001</v>
      </c>
      <c r="I446" s="25">
        <v>18.672699999999999</v>
      </c>
      <c r="J446" s="26" t="s">
        <v>1</v>
      </c>
      <c r="K446" s="24">
        <v>4.2</v>
      </c>
      <c r="L446" s="26"/>
      <c r="M446" s="26">
        <v>141</v>
      </c>
      <c r="N446" s="27" t="s">
        <v>139</v>
      </c>
      <c r="O446" s="28" t="s">
        <v>409</v>
      </c>
    </row>
    <row r="447" spans="1:15" ht="105" x14ac:dyDescent="0.25">
      <c r="A447">
        <v>8792</v>
      </c>
      <c r="B447" s="24">
        <v>20</v>
      </c>
      <c r="C447" s="29" t="s">
        <v>348</v>
      </c>
      <c r="D447">
        <v>2016</v>
      </c>
      <c r="E447" s="24">
        <v>52</v>
      </c>
      <c r="F447" s="25">
        <v>29.01</v>
      </c>
      <c r="G447" s="24">
        <v>22</v>
      </c>
      <c r="H447" s="26">
        <v>37.9617</v>
      </c>
      <c r="I447" s="25">
        <v>38.636699999999998</v>
      </c>
      <c r="J447" s="26" t="s">
        <v>1</v>
      </c>
      <c r="K447" s="24">
        <v>3.8</v>
      </c>
      <c r="L447" s="26">
        <v>3.4</v>
      </c>
      <c r="M447" s="26">
        <v>170</v>
      </c>
      <c r="N447" s="27" t="s">
        <v>399</v>
      </c>
      <c r="O447" s="28" t="s">
        <v>410</v>
      </c>
    </row>
    <row r="448" spans="1:15" ht="45" x14ac:dyDescent="0.25">
      <c r="A448">
        <v>8793</v>
      </c>
      <c r="B448" s="8">
        <v>21</v>
      </c>
      <c r="C448" s="21" t="s">
        <v>348</v>
      </c>
      <c r="D448">
        <v>2016</v>
      </c>
      <c r="E448" s="8">
        <v>16</v>
      </c>
      <c r="F448" s="43">
        <v>47.7</v>
      </c>
      <c r="G448" s="8">
        <v>2</v>
      </c>
      <c r="H448" s="11">
        <v>12.3667</v>
      </c>
      <c r="I448" s="9">
        <v>2.8677000000000001</v>
      </c>
      <c r="J448" s="11" t="s">
        <v>1</v>
      </c>
      <c r="K448" s="8">
        <v>4.3</v>
      </c>
      <c r="L448" s="11"/>
      <c r="M448" s="11">
        <v>59</v>
      </c>
      <c r="N448" s="12" t="s">
        <v>15</v>
      </c>
      <c r="O448" s="13" t="s">
        <v>81</v>
      </c>
    </row>
    <row r="449" spans="1:15" ht="90" x14ac:dyDescent="0.25">
      <c r="A449">
        <v>8794</v>
      </c>
      <c r="B449" s="24">
        <v>21</v>
      </c>
      <c r="C449" s="29" t="s">
        <v>348</v>
      </c>
      <c r="D449">
        <v>2016</v>
      </c>
      <c r="E449" s="24">
        <v>20</v>
      </c>
      <c r="F449" s="40">
        <v>52.6</v>
      </c>
      <c r="G449" s="24">
        <v>7</v>
      </c>
      <c r="H449" s="33">
        <v>39.270000000000003</v>
      </c>
      <c r="I449" s="25">
        <v>38.860399999999998</v>
      </c>
      <c r="J449" s="26" t="s">
        <v>1</v>
      </c>
      <c r="K449" s="36">
        <v>4</v>
      </c>
      <c r="L449" s="26">
        <v>3.1</v>
      </c>
      <c r="M449" s="26">
        <v>154</v>
      </c>
      <c r="N449" s="27" t="s">
        <v>399</v>
      </c>
      <c r="O449" s="28" t="s">
        <v>411</v>
      </c>
    </row>
    <row r="450" spans="1:15" ht="105" x14ac:dyDescent="0.25">
      <c r="A450">
        <v>8795</v>
      </c>
      <c r="B450" s="8">
        <v>22</v>
      </c>
      <c r="C450" s="21" t="s">
        <v>348</v>
      </c>
      <c r="D450">
        <v>2016</v>
      </c>
      <c r="E450" s="8">
        <v>36</v>
      </c>
      <c r="F450" s="9">
        <v>21.18</v>
      </c>
      <c r="G450" s="8">
        <v>0</v>
      </c>
      <c r="H450" s="11">
        <v>15.343999999999999</v>
      </c>
      <c r="I450" s="9">
        <v>-14.3024</v>
      </c>
      <c r="J450" s="11" t="s">
        <v>1</v>
      </c>
      <c r="K450" s="38">
        <v>4</v>
      </c>
      <c r="L450" s="11"/>
      <c r="M450" s="11">
        <v>79</v>
      </c>
      <c r="N450" s="12" t="s">
        <v>15</v>
      </c>
      <c r="O450" s="13" t="s">
        <v>412</v>
      </c>
    </row>
    <row r="451" spans="1:15" ht="60" x14ac:dyDescent="0.25">
      <c r="A451">
        <v>8796</v>
      </c>
      <c r="B451" s="24">
        <v>22</v>
      </c>
      <c r="C451" s="29" t="s">
        <v>348</v>
      </c>
      <c r="D451">
        <v>2016</v>
      </c>
      <c r="E451" s="24">
        <v>45</v>
      </c>
      <c r="F451" s="25">
        <v>38.74</v>
      </c>
      <c r="G451" s="24">
        <v>11</v>
      </c>
      <c r="H451" s="26">
        <v>-28.167999999999999</v>
      </c>
      <c r="I451" s="25">
        <v>25.6982</v>
      </c>
      <c r="J451" s="26" t="s">
        <v>1</v>
      </c>
      <c r="K451" s="24">
        <v>4.4000000000000004</v>
      </c>
      <c r="L451" s="26"/>
      <c r="M451" s="26">
        <v>84</v>
      </c>
      <c r="N451" s="27" t="s">
        <v>6</v>
      </c>
      <c r="O451" s="28" t="s">
        <v>68</v>
      </c>
    </row>
    <row r="452" spans="1:15" ht="45" x14ac:dyDescent="0.25">
      <c r="A452">
        <v>8797</v>
      </c>
      <c r="B452" s="24">
        <v>23</v>
      </c>
      <c r="C452" s="29" t="s">
        <v>348</v>
      </c>
      <c r="D452">
        <v>2016</v>
      </c>
      <c r="E452" s="24">
        <v>30</v>
      </c>
      <c r="F452" s="25">
        <v>46.56</v>
      </c>
      <c r="G452" s="24">
        <v>9</v>
      </c>
      <c r="H452" s="26">
        <v>34.7089</v>
      </c>
      <c r="I452" s="25">
        <v>3.7132000000000001</v>
      </c>
      <c r="J452" s="26" t="s">
        <v>1</v>
      </c>
      <c r="K452" s="24">
        <v>3.8</v>
      </c>
      <c r="L452" s="26"/>
      <c r="M452" s="26">
        <v>39</v>
      </c>
      <c r="N452" s="27" t="s">
        <v>10</v>
      </c>
      <c r="O452" s="28" t="s">
        <v>413</v>
      </c>
    </row>
    <row r="453" spans="1:15" ht="45" x14ac:dyDescent="0.25">
      <c r="A453">
        <v>8798</v>
      </c>
      <c r="B453" s="24">
        <v>23</v>
      </c>
      <c r="C453" s="29" t="s">
        <v>348</v>
      </c>
      <c r="D453">
        <v>2016</v>
      </c>
      <c r="E453" s="24">
        <v>29</v>
      </c>
      <c r="F453" s="25">
        <v>35.44</v>
      </c>
      <c r="G453" s="24">
        <v>19</v>
      </c>
      <c r="H453" s="26">
        <v>0.56379999999999997</v>
      </c>
      <c r="I453" s="37">
        <v>40.398000000000003</v>
      </c>
      <c r="J453" s="26" t="s">
        <v>1</v>
      </c>
      <c r="K453" s="24">
        <v>4.3</v>
      </c>
      <c r="L453" s="26"/>
      <c r="M453" s="26">
        <v>126</v>
      </c>
      <c r="N453" s="27" t="s">
        <v>13</v>
      </c>
      <c r="O453" s="28" t="s">
        <v>414</v>
      </c>
    </row>
    <row r="454" spans="1:15" ht="75" x14ac:dyDescent="0.25">
      <c r="A454">
        <v>8799</v>
      </c>
      <c r="B454" s="24">
        <v>24</v>
      </c>
      <c r="C454" s="29" t="s">
        <v>348</v>
      </c>
      <c r="D454">
        <v>2016</v>
      </c>
      <c r="E454" s="24">
        <v>57</v>
      </c>
      <c r="F454" s="25">
        <v>55.26</v>
      </c>
      <c r="G454" s="24">
        <v>12</v>
      </c>
      <c r="H454" s="26">
        <v>-27.4404</v>
      </c>
      <c r="I454" s="25">
        <v>25.0153</v>
      </c>
      <c r="J454" s="26" t="s">
        <v>1</v>
      </c>
      <c r="K454" s="24">
        <v>4.3</v>
      </c>
      <c r="L454" s="26"/>
      <c r="M454" s="26">
        <v>84</v>
      </c>
      <c r="N454" s="27" t="s">
        <v>6</v>
      </c>
      <c r="O454" s="28" t="s">
        <v>415</v>
      </c>
    </row>
    <row r="455" spans="1:15" ht="60" x14ac:dyDescent="0.25">
      <c r="A455">
        <v>8800</v>
      </c>
      <c r="B455" s="24">
        <v>25</v>
      </c>
      <c r="C455" s="29" t="s">
        <v>348</v>
      </c>
      <c r="D455">
        <v>2016</v>
      </c>
      <c r="E455" s="24">
        <v>59</v>
      </c>
      <c r="F455" s="25">
        <v>35.729999999999997</v>
      </c>
      <c r="G455" s="24">
        <v>13</v>
      </c>
      <c r="H455" s="26">
        <v>-29.791</v>
      </c>
      <c r="I455" s="25">
        <v>24.3674</v>
      </c>
      <c r="J455" s="26" t="s">
        <v>1</v>
      </c>
      <c r="K455" s="24">
        <v>3.9</v>
      </c>
      <c r="L455" s="26"/>
      <c r="M455" s="26">
        <v>112</v>
      </c>
      <c r="N455" s="27" t="s">
        <v>6</v>
      </c>
      <c r="O455" s="28" t="s">
        <v>416</v>
      </c>
    </row>
    <row r="456" spans="1:15" ht="30" x14ac:dyDescent="0.25">
      <c r="A456">
        <v>8801</v>
      </c>
      <c r="B456" s="24">
        <v>25</v>
      </c>
      <c r="C456" s="29" t="s">
        <v>348</v>
      </c>
      <c r="D456">
        <v>2016</v>
      </c>
      <c r="E456" s="24">
        <v>52</v>
      </c>
      <c r="F456" s="25">
        <v>59.89</v>
      </c>
      <c r="G456" s="24">
        <v>16</v>
      </c>
      <c r="H456" s="26">
        <v>5.9625000000000004</v>
      </c>
      <c r="I456" s="25">
        <v>42.310099999999998</v>
      </c>
      <c r="J456" s="26" t="s">
        <v>1</v>
      </c>
      <c r="K456" s="36">
        <v>4</v>
      </c>
      <c r="L456" s="26">
        <v>3.4</v>
      </c>
      <c r="M456" s="26">
        <v>127</v>
      </c>
      <c r="N456" s="27" t="s">
        <v>57</v>
      </c>
      <c r="O456" s="28" t="s">
        <v>417</v>
      </c>
    </row>
    <row r="457" spans="1:15" ht="30" x14ac:dyDescent="0.25">
      <c r="A457">
        <v>8802</v>
      </c>
      <c r="B457" s="24">
        <v>27</v>
      </c>
      <c r="C457" s="29" t="s">
        <v>348</v>
      </c>
      <c r="D457">
        <v>2016</v>
      </c>
      <c r="E457" s="24">
        <v>58</v>
      </c>
      <c r="F457" s="40">
        <v>17.600000000000001</v>
      </c>
      <c r="G457" s="24">
        <v>11</v>
      </c>
      <c r="H457" s="26">
        <v>-4.7100000000000003E-2</v>
      </c>
      <c r="I457" s="25">
        <v>40.475200000000001</v>
      </c>
      <c r="J457" s="26" t="s">
        <v>1</v>
      </c>
      <c r="K457" s="24">
        <v>4.3</v>
      </c>
      <c r="L457" s="26">
        <v>2.6</v>
      </c>
      <c r="M457" s="26">
        <v>172</v>
      </c>
      <c r="N457" s="27" t="s">
        <v>13</v>
      </c>
      <c r="O457" s="28" t="s">
        <v>418</v>
      </c>
    </row>
    <row r="458" spans="1:15" ht="135" x14ac:dyDescent="0.25">
      <c r="A458">
        <v>8803</v>
      </c>
      <c r="B458" s="24">
        <v>27</v>
      </c>
      <c r="C458" s="29" t="s">
        <v>348</v>
      </c>
      <c r="D458">
        <v>2016</v>
      </c>
      <c r="E458" s="24">
        <v>13</v>
      </c>
      <c r="F458" s="25">
        <v>56.63</v>
      </c>
      <c r="G458" s="24">
        <v>16</v>
      </c>
      <c r="H458" s="26">
        <v>-16.193300000000001</v>
      </c>
      <c r="I458" s="25">
        <v>44.383699999999997</v>
      </c>
      <c r="J458" s="26" t="s">
        <v>1</v>
      </c>
      <c r="K458" s="24">
        <v>4.3</v>
      </c>
      <c r="L458" s="26">
        <v>4.3</v>
      </c>
      <c r="M458" s="26">
        <v>77</v>
      </c>
      <c r="N458" s="27" t="s">
        <v>177</v>
      </c>
      <c r="O458" s="28" t="s">
        <v>419</v>
      </c>
    </row>
    <row r="459" spans="1:15" ht="60" x14ac:dyDescent="0.25">
      <c r="A459">
        <v>8804</v>
      </c>
      <c r="B459" s="24">
        <v>29</v>
      </c>
      <c r="C459" s="29" t="s">
        <v>348</v>
      </c>
      <c r="D459">
        <v>2016</v>
      </c>
      <c r="E459" s="24">
        <v>18</v>
      </c>
      <c r="F459" s="25">
        <v>31.67</v>
      </c>
      <c r="G459" s="24">
        <v>0</v>
      </c>
      <c r="H459" s="26">
        <v>27.0793</v>
      </c>
      <c r="I459" s="25">
        <v>23.893899999999999</v>
      </c>
      <c r="J459" s="26" t="s">
        <v>1</v>
      </c>
      <c r="K459" s="24">
        <v>4.0999999999999996</v>
      </c>
      <c r="L459" s="26">
        <v>3.8</v>
      </c>
      <c r="M459" s="26">
        <v>169</v>
      </c>
      <c r="N459" s="27" t="s">
        <v>48</v>
      </c>
      <c r="O459" s="28" t="s">
        <v>185</v>
      </c>
    </row>
    <row r="460" spans="1:15" ht="30" x14ac:dyDescent="0.25">
      <c r="A460">
        <v>8805</v>
      </c>
      <c r="B460" s="24">
        <v>29</v>
      </c>
      <c r="C460" s="29" t="s">
        <v>348</v>
      </c>
      <c r="D460">
        <v>2016</v>
      </c>
      <c r="E460" s="24">
        <v>27</v>
      </c>
      <c r="F460" s="25">
        <v>42.67</v>
      </c>
      <c r="G460" s="24">
        <v>2</v>
      </c>
      <c r="H460" s="26">
        <v>36.354900000000001</v>
      </c>
      <c r="I460" s="25">
        <v>8.9608000000000008</v>
      </c>
      <c r="J460" s="26" t="s">
        <v>1</v>
      </c>
      <c r="K460" s="24">
        <v>3.3</v>
      </c>
      <c r="L460" s="26"/>
      <c r="M460" s="26">
        <v>60</v>
      </c>
      <c r="N460" s="27" t="s">
        <v>2</v>
      </c>
      <c r="O460" s="28" t="s">
        <v>420</v>
      </c>
    </row>
    <row r="461" spans="1:15" ht="60" x14ac:dyDescent="0.25">
      <c r="A461">
        <v>8806</v>
      </c>
      <c r="B461" s="24">
        <v>29</v>
      </c>
      <c r="C461" s="29" t="s">
        <v>348</v>
      </c>
      <c r="D461">
        <v>2016</v>
      </c>
      <c r="E461" s="24">
        <v>1</v>
      </c>
      <c r="F461" s="25">
        <v>14.09</v>
      </c>
      <c r="G461" s="24">
        <v>17</v>
      </c>
      <c r="H461" s="26">
        <v>28.715599999999998</v>
      </c>
      <c r="I461" s="25">
        <v>34.842199999999998</v>
      </c>
      <c r="J461" s="26" t="s">
        <v>1</v>
      </c>
      <c r="K461" s="36">
        <v>4</v>
      </c>
      <c r="L461" s="26"/>
      <c r="M461" s="26">
        <v>19</v>
      </c>
      <c r="N461" s="27" t="s">
        <v>72</v>
      </c>
      <c r="O461" s="28" t="s">
        <v>421</v>
      </c>
    </row>
    <row r="462" spans="1:15" ht="45" x14ac:dyDescent="0.25">
      <c r="A462">
        <v>8807</v>
      </c>
      <c r="B462" s="24">
        <v>29</v>
      </c>
      <c r="C462" s="29" t="s">
        <v>348</v>
      </c>
      <c r="D462">
        <v>2016</v>
      </c>
      <c r="E462" s="24">
        <v>57</v>
      </c>
      <c r="F462" s="25">
        <v>49.69</v>
      </c>
      <c r="G462" s="24">
        <v>22</v>
      </c>
      <c r="H462" s="33">
        <v>34.515999999999998</v>
      </c>
      <c r="I462" s="25">
        <v>8.6793999999999993</v>
      </c>
      <c r="J462" s="26" t="s">
        <v>1</v>
      </c>
      <c r="K462" s="24">
        <v>3.9</v>
      </c>
      <c r="L462" s="26"/>
      <c r="M462" s="26">
        <v>120</v>
      </c>
      <c r="N462" s="27" t="s">
        <v>2</v>
      </c>
      <c r="O462" s="28" t="s">
        <v>422</v>
      </c>
    </row>
    <row r="463" spans="1:15" ht="60" x14ac:dyDescent="0.25">
      <c r="A463">
        <v>8808</v>
      </c>
      <c r="B463" s="24">
        <v>29</v>
      </c>
      <c r="C463" s="29" t="s">
        <v>348</v>
      </c>
      <c r="D463">
        <v>2016</v>
      </c>
      <c r="E463" s="24">
        <v>14</v>
      </c>
      <c r="F463" s="25">
        <v>8.93</v>
      </c>
      <c r="G463" s="24">
        <v>23</v>
      </c>
      <c r="H463" s="26">
        <v>-27.692799999999998</v>
      </c>
      <c r="I463" s="25">
        <v>26.660399999999999</v>
      </c>
      <c r="J463" s="26" t="s">
        <v>1</v>
      </c>
      <c r="K463" s="24">
        <v>4.2</v>
      </c>
      <c r="L463" s="26"/>
      <c r="M463" s="26">
        <v>146</v>
      </c>
      <c r="N463" s="27" t="s">
        <v>6</v>
      </c>
      <c r="O463" s="28" t="s">
        <v>295</v>
      </c>
    </row>
    <row r="464" spans="1:15" ht="60" x14ac:dyDescent="0.25">
      <c r="A464">
        <v>8809</v>
      </c>
      <c r="B464" s="24">
        <v>30</v>
      </c>
      <c r="C464" s="29" t="s">
        <v>348</v>
      </c>
      <c r="D464">
        <v>2016</v>
      </c>
      <c r="E464" s="24">
        <v>8</v>
      </c>
      <c r="F464" s="25">
        <v>44.15</v>
      </c>
      <c r="G464" s="24">
        <v>13</v>
      </c>
      <c r="H464" s="33">
        <v>-28.558</v>
      </c>
      <c r="I464" s="25">
        <v>25.223800000000001</v>
      </c>
      <c r="J464" s="26" t="s">
        <v>1</v>
      </c>
      <c r="K464" s="24"/>
      <c r="L464" s="26"/>
      <c r="M464" s="26">
        <v>154</v>
      </c>
      <c r="N464" s="27" t="s">
        <v>6</v>
      </c>
      <c r="O464" s="28" t="s">
        <v>423</v>
      </c>
    </row>
    <row r="465" spans="1:15" ht="90" x14ac:dyDescent="0.25">
      <c r="A465">
        <v>8810</v>
      </c>
      <c r="B465" s="24">
        <v>1</v>
      </c>
      <c r="C465" s="29" t="s">
        <v>424</v>
      </c>
      <c r="D465">
        <v>2016</v>
      </c>
      <c r="E465" s="24">
        <v>43</v>
      </c>
      <c r="F465" s="25">
        <v>7.18</v>
      </c>
      <c r="G465" s="24">
        <v>10</v>
      </c>
      <c r="H465" s="26">
        <v>-1.1285000000000001</v>
      </c>
      <c r="I465" s="25">
        <v>37.266500000000001</v>
      </c>
      <c r="J465" s="26" t="s">
        <v>1</v>
      </c>
      <c r="K465" s="24">
        <v>4.3</v>
      </c>
      <c r="L465" s="26"/>
      <c r="M465" s="26">
        <v>97</v>
      </c>
      <c r="N465" s="27" t="s">
        <v>13</v>
      </c>
      <c r="O465" s="28" t="s">
        <v>425</v>
      </c>
    </row>
    <row r="466" spans="1:15" ht="60" x14ac:dyDescent="0.25">
      <c r="A466">
        <v>8811</v>
      </c>
      <c r="B466" s="24">
        <v>1</v>
      </c>
      <c r="C466" s="29" t="s">
        <v>424</v>
      </c>
      <c r="D466">
        <v>2016</v>
      </c>
      <c r="E466" s="24">
        <v>41</v>
      </c>
      <c r="F466" s="25">
        <v>28.38</v>
      </c>
      <c r="G466" s="24">
        <v>15</v>
      </c>
      <c r="H466" s="26">
        <v>-23.7807</v>
      </c>
      <c r="I466" s="25">
        <v>31.5425</v>
      </c>
      <c r="J466" s="26" t="s">
        <v>1</v>
      </c>
      <c r="K466" s="24">
        <v>4.4000000000000004</v>
      </c>
      <c r="L466" s="26">
        <v>4.7</v>
      </c>
      <c r="M466" s="26">
        <v>154</v>
      </c>
      <c r="N466" s="27" t="s">
        <v>6</v>
      </c>
      <c r="O466" s="28" t="s">
        <v>426</v>
      </c>
    </row>
    <row r="467" spans="1:15" ht="45" x14ac:dyDescent="0.25">
      <c r="A467">
        <v>8812</v>
      </c>
      <c r="B467" s="24">
        <v>2</v>
      </c>
      <c r="C467" s="29" t="s">
        <v>424</v>
      </c>
      <c r="D467">
        <v>2016</v>
      </c>
      <c r="E467" s="24">
        <v>55</v>
      </c>
      <c r="F467" s="25">
        <v>42.83</v>
      </c>
      <c r="G467" s="24">
        <v>3</v>
      </c>
      <c r="H467" s="26">
        <v>34.295699999999997</v>
      </c>
      <c r="I467" s="25">
        <v>9.6891999999999996</v>
      </c>
      <c r="J467" s="26" t="s">
        <v>1</v>
      </c>
      <c r="K467" s="24">
        <v>4</v>
      </c>
      <c r="L467" s="26"/>
      <c r="M467" s="26">
        <v>82</v>
      </c>
      <c r="N467" s="27" t="s">
        <v>2</v>
      </c>
      <c r="O467" s="28" t="s">
        <v>427</v>
      </c>
    </row>
    <row r="468" spans="1:15" ht="30" x14ac:dyDescent="0.25">
      <c r="A468">
        <v>8813</v>
      </c>
      <c r="B468" s="24">
        <v>3</v>
      </c>
      <c r="C468" s="29" t="s">
        <v>424</v>
      </c>
      <c r="D468">
        <v>2016</v>
      </c>
      <c r="E468" s="24">
        <v>59</v>
      </c>
      <c r="F468" s="25">
        <v>25.59</v>
      </c>
      <c r="G468" s="24">
        <v>2</v>
      </c>
      <c r="H468" s="26">
        <v>35.916400000000003</v>
      </c>
      <c r="I468" s="25">
        <v>8.9116</v>
      </c>
      <c r="J468" s="26" t="s">
        <v>1</v>
      </c>
      <c r="K468" s="24"/>
      <c r="L468" s="26">
        <v>3</v>
      </c>
      <c r="M468" s="26">
        <v>117</v>
      </c>
      <c r="N468" s="27" t="s">
        <v>2</v>
      </c>
      <c r="O468" s="28" t="s">
        <v>428</v>
      </c>
    </row>
    <row r="469" spans="1:15" ht="60" x14ac:dyDescent="0.25">
      <c r="A469">
        <v>8814</v>
      </c>
      <c r="B469" s="24">
        <v>3</v>
      </c>
      <c r="C469" s="29" t="s">
        <v>424</v>
      </c>
      <c r="D469">
        <v>2016</v>
      </c>
      <c r="E469" s="24">
        <v>31</v>
      </c>
      <c r="F469" s="25">
        <v>11.53</v>
      </c>
      <c r="G469" s="24">
        <v>14</v>
      </c>
      <c r="H469" s="26">
        <v>-8.5579999999999998</v>
      </c>
      <c r="I469" s="25">
        <v>29.366299999999999</v>
      </c>
      <c r="J469" s="26" t="s">
        <v>1</v>
      </c>
      <c r="K469" s="24">
        <v>3.8</v>
      </c>
      <c r="L469" s="26">
        <v>3.3</v>
      </c>
      <c r="M469" s="26">
        <v>104</v>
      </c>
      <c r="N469" s="27" t="s">
        <v>429</v>
      </c>
      <c r="O469" s="28" t="s">
        <v>430</v>
      </c>
    </row>
    <row r="470" spans="1:15" ht="90" x14ac:dyDescent="0.25">
      <c r="A470">
        <v>8815</v>
      </c>
      <c r="B470" s="24">
        <v>3</v>
      </c>
      <c r="C470" s="29" t="s">
        <v>424</v>
      </c>
      <c r="D470">
        <v>2016</v>
      </c>
      <c r="E470" s="24">
        <v>50</v>
      </c>
      <c r="F470" s="25">
        <v>15.11</v>
      </c>
      <c r="G470" s="24">
        <v>15</v>
      </c>
      <c r="H470" s="26">
        <v>28.603300000000001</v>
      </c>
      <c r="I470" s="25">
        <v>26.404800000000002</v>
      </c>
      <c r="J470" s="26" t="s">
        <v>1</v>
      </c>
      <c r="K470" s="24">
        <v>3.8</v>
      </c>
      <c r="L470" s="26"/>
      <c r="M470" s="26">
        <v>42</v>
      </c>
      <c r="N470" s="27" t="s">
        <v>72</v>
      </c>
      <c r="O470" s="28" t="s">
        <v>431</v>
      </c>
    </row>
    <row r="471" spans="1:15" ht="60" x14ac:dyDescent="0.25">
      <c r="A471">
        <v>8816</v>
      </c>
      <c r="B471" s="8">
        <v>3</v>
      </c>
      <c r="C471" s="21" t="s">
        <v>424</v>
      </c>
      <c r="D471">
        <v>2016</v>
      </c>
      <c r="E471" s="8">
        <v>37</v>
      </c>
      <c r="F471" s="9">
        <v>25.15</v>
      </c>
      <c r="G471" s="8">
        <v>22</v>
      </c>
      <c r="H471" s="11">
        <v>5.4</v>
      </c>
      <c r="I471" s="9">
        <v>-5.3826000000000001</v>
      </c>
      <c r="J471" s="11" t="s">
        <v>1</v>
      </c>
      <c r="K471" s="8">
        <v>4.0999999999999996</v>
      </c>
      <c r="L471" s="11"/>
      <c r="M471" s="11">
        <v>89</v>
      </c>
      <c r="N471" s="12" t="s">
        <v>15</v>
      </c>
      <c r="O471" s="13" t="s">
        <v>432</v>
      </c>
    </row>
    <row r="472" spans="1:15" ht="60" x14ac:dyDescent="0.25">
      <c r="A472">
        <v>8817</v>
      </c>
      <c r="B472" s="24">
        <v>4</v>
      </c>
      <c r="C472" s="29" t="s">
        <v>424</v>
      </c>
      <c r="D472">
        <v>2016</v>
      </c>
      <c r="E472" s="24">
        <v>59</v>
      </c>
      <c r="F472" s="25">
        <v>31.18</v>
      </c>
      <c r="G472" s="24">
        <v>1</v>
      </c>
      <c r="H472" s="26">
        <v>31.9359</v>
      </c>
      <c r="I472" s="25">
        <v>25.324100000000001</v>
      </c>
      <c r="J472" s="26" t="s">
        <v>1</v>
      </c>
      <c r="K472" s="24">
        <v>3.6</v>
      </c>
      <c r="L472" s="26"/>
      <c r="M472" s="26">
        <v>144</v>
      </c>
      <c r="N472" s="27" t="s">
        <v>433</v>
      </c>
      <c r="O472" s="28" t="s">
        <v>434</v>
      </c>
    </row>
    <row r="473" spans="1:15" ht="45" x14ac:dyDescent="0.25">
      <c r="A473">
        <v>8818</v>
      </c>
      <c r="B473" s="24">
        <v>4</v>
      </c>
      <c r="C473" s="29" t="s">
        <v>424</v>
      </c>
      <c r="D473">
        <v>2016</v>
      </c>
      <c r="E473" s="24">
        <v>32</v>
      </c>
      <c r="F473" s="25">
        <v>10.67</v>
      </c>
      <c r="G473" s="24">
        <v>3</v>
      </c>
      <c r="H473" s="26">
        <v>20.515000000000001</v>
      </c>
      <c r="I473" s="25">
        <v>27.441199999999998</v>
      </c>
      <c r="J473" s="26" t="s">
        <v>1</v>
      </c>
      <c r="K473" s="24">
        <v>4</v>
      </c>
      <c r="L473" s="26"/>
      <c r="M473" s="26">
        <v>9</v>
      </c>
      <c r="N473" s="27" t="s">
        <v>117</v>
      </c>
      <c r="O473" s="28" t="s">
        <v>435</v>
      </c>
    </row>
    <row r="474" spans="1:15" ht="45" x14ac:dyDescent="0.25">
      <c r="A474">
        <v>8819</v>
      </c>
      <c r="B474" s="24">
        <v>4</v>
      </c>
      <c r="C474" s="29" t="s">
        <v>424</v>
      </c>
      <c r="D474">
        <v>2016</v>
      </c>
      <c r="E474" s="24">
        <v>44</v>
      </c>
      <c r="F474" s="25">
        <v>27.11</v>
      </c>
      <c r="G474" s="24">
        <v>9</v>
      </c>
      <c r="H474" s="26">
        <v>-0.81030000000000002</v>
      </c>
      <c r="I474" s="25">
        <v>37.592300000000002</v>
      </c>
      <c r="J474" s="26" t="s">
        <v>1</v>
      </c>
      <c r="K474" s="24">
        <v>3.7</v>
      </c>
      <c r="L474" s="26"/>
      <c r="M474" s="26">
        <v>127</v>
      </c>
      <c r="N474" s="27" t="s">
        <v>126</v>
      </c>
      <c r="O474" s="28" t="s">
        <v>189</v>
      </c>
    </row>
    <row r="475" spans="1:15" ht="30" x14ac:dyDescent="0.25">
      <c r="A475">
        <v>8820</v>
      </c>
      <c r="B475" s="24">
        <v>5</v>
      </c>
      <c r="C475" s="29" t="s">
        <v>424</v>
      </c>
      <c r="D475">
        <v>2016</v>
      </c>
      <c r="E475" s="24">
        <v>21</v>
      </c>
      <c r="F475" s="25">
        <v>35.200000000000003</v>
      </c>
      <c r="G475" s="24">
        <v>19</v>
      </c>
      <c r="H475" s="26">
        <v>10.465999999999999</v>
      </c>
      <c r="I475" s="25">
        <v>29.596399999999999</v>
      </c>
      <c r="J475" s="26" t="s">
        <v>1</v>
      </c>
      <c r="K475" s="24">
        <v>3.7</v>
      </c>
      <c r="L475" s="26"/>
      <c r="M475" s="26">
        <v>99</v>
      </c>
      <c r="N475" s="27" t="s">
        <v>117</v>
      </c>
      <c r="O475" s="28" t="s">
        <v>436</v>
      </c>
    </row>
    <row r="476" spans="1:15" ht="30" x14ac:dyDescent="0.25">
      <c r="A476">
        <v>8821</v>
      </c>
      <c r="B476" s="24">
        <v>5</v>
      </c>
      <c r="C476" s="29" t="s">
        <v>424</v>
      </c>
      <c r="D476">
        <v>2016</v>
      </c>
      <c r="E476" s="24">
        <v>25</v>
      </c>
      <c r="F476" s="25">
        <v>53.01</v>
      </c>
      <c r="G476" s="24">
        <v>22</v>
      </c>
      <c r="H476" s="26">
        <v>-4.2929000000000004</v>
      </c>
      <c r="I476" s="25">
        <v>36.121299999999998</v>
      </c>
      <c r="J476" s="26" t="s">
        <v>1</v>
      </c>
      <c r="K476" s="24">
        <v>3.8</v>
      </c>
      <c r="L476" s="26">
        <v>3.2</v>
      </c>
      <c r="M476" s="26">
        <v>118</v>
      </c>
      <c r="N476" s="27" t="s">
        <v>96</v>
      </c>
      <c r="O476" s="28" t="s">
        <v>132</v>
      </c>
    </row>
    <row r="477" spans="1:15" ht="105" x14ac:dyDescent="0.25">
      <c r="A477">
        <v>8822</v>
      </c>
      <c r="B477" s="24">
        <v>6</v>
      </c>
      <c r="C477" s="29" t="s">
        <v>424</v>
      </c>
      <c r="D477">
        <v>2016</v>
      </c>
      <c r="E477" s="24">
        <v>16</v>
      </c>
      <c r="F477" s="25">
        <v>52.68</v>
      </c>
      <c r="G477" s="24">
        <v>9</v>
      </c>
      <c r="H477" s="26">
        <v>36.344200000000001</v>
      </c>
      <c r="I477" s="25">
        <v>0.18759999999999999</v>
      </c>
      <c r="J477" s="26" t="s">
        <v>1</v>
      </c>
      <c r="K477" s="24">
        <v>4.3</v>
      </c>
      <c r="L477" s="26"/>
      <c r="M477" s="26">
        <v>87</v>
      </c>
      <c r="N477" s="27" t="s">
        <v>10</v>
      </c>
      <c r="O477" s="28" t="s">
        <v>437</v>
      </c>
    </row>
    <row r="478" spans="1:15" ht="60" x14ac:dyDescent="0.25">
      <c r="A478">
        <v>8823</v>
      </c>
      <c r="B478" s="24">
        <v>6</v>
      </c>
      <c r="C478" s="29" t="s">
        <v>424</v>
      </c>
      <c r="D478">
        <v>2016</v>
      </c>
      <c r="E478" s="24">
        <v>19</v>
      </c>
      <c r="F478" s="25">
        <v>56.19</v>
      </c>
      <c r="G478" s="24">
        <v>16</v>
      </c>
      <c r="H478" s="26">
        <v>-31.212399999999999</v>
      </c>
      <c r="I478" s="25">
        <v>26.552399999999999</v>
      </c>
      <c r="J478" s="26" t="s">
        <v>1</v>
      </c>
      <c r="K478" s="24">
        <v>4.4000000000000004</v>
      </c>
      <c r="L478" s="26"/>
      <c r="M478" s="26">
        <v>7</v>
      </c>
      <c r="N478" s="27" t="s">
        <v>6</v>
      </c>
      <c r="O478" s="28" t="s">
        <v>438</v>
      </c>
    </row>
    <row r="479" spans="1:15" ht="45" x14ac:dyDescent="0.25">
      <c r="A479">
        <v>8824</v>
      </c>
      <c r="B479" s="8">
        <v>6</v>
      </c>
      <c r="C479" s="21" t="s">
        <v>424</v>
      </c>
      <c r="D479">
        <v>2016</v>
      </c>
      <c r="E479" s="8">
        <v>7</v>
      </c>
      <c r="F479" s="9">
        <v>21.58</v>
      </c>
      <c r="G479" s="8">
        <v>17</v>
      </c>
      <c r="H479" s="11">
        <v>6.4242999999999997</v>
      </c>
      <c r="I479" s="9">
        <v>-5.7359</v>
      </c>
      <c r="J479" s="11" t="s">
        <v>1</v>
      </c>
      <c r="K479" s="8">
        <v>4.3</v>
      </c>
      <c r="L479" s="11"/>
      <c r="M479" s="11">
        <v>160</v>
      </c>
      <c r="N479" s="12" t="s">
        <v>15</v>
      </c>
      <c r="O479" s="13" t="s">
        <v>247</v>
      </c>
    </row>
    <row r="480" spans="1:15" ht="60" x14ac:dyDescent="0.25">
      <c r="A480">
        <v>8825</v>
      </c>
      <c r="B480" s="8">
        <v>7</v>
      </c>
      <c r="C480" s="21" t="s">
        <v>424</v>
      </c>
      <c r="D480">
        <v>2016</v>
      </c>
      <c r="E480" s="8">
        <v>7</v>
      </c>
      <c r="F480" s="9">
        <v>12.09</v>
      </c>
      <c r="G480" s="8">
        <v>13</v>
      </c>
      <c r="H480" s="11">
        <v>5.3155999999999999</v>
      </c>
      <c r="I480" s="9">
        <v>-5.0965999999999996</v>
      </c>
      <c r="J480" s="11" t="s">
        <v>1</v>
      </c>
      <c r="K480" s="8">
        <v>4.2</v>
      </c>
      <c r="L480" s="11"/>
      <c r="M480" s="11">
        <v>116</v>
      </c>
      <c r="N480" s="12" t="s">
        <v>15</v>
      </c>
      <c r="O480" s="13" t="s">
        <v>432</v>
      </c>
    </row>
    <row r="481" spans="1:15" ht="60" x14ac:dyDescent="0.25">
      <c r="A481">
        <v>8826</v>
      </c>
      <c r="B481" s="24">
        <v>7</v>
      </c>
      <c r="C481" s="29" t="s">
        <v>424</v>
      </c>
      <c r="D481">
        <v>2016</v>
      </c>
      <c r="E481" s="24">
        <v>55</v>
      </c>
      <c r="F481" s="25">
        <v>29.89</v>
      </c>
      <c r="G481" s="24">
        <v>21</v>
      </c>
      <c r="H481" s="26">
        <v>-28.499600000000001</v>
      </c>
      <c r="I481" s="25">
        <v>24.230799999999999</v>
      </c>
      <c r="J481" s="26" t="s">
        <v>1</v>
      </c>
      <c r="K481" s="24">
        <v>4</v>
      </c>
      <c r="L481" s="26"/>
      <c r="M481" s="26">
        <v>3</v>
      </c>
      <c r="N481" s="27" t="s">
        <v>6</v>
      </c>
      <c r="O481" s="28" t="s">
        <v>439</v>
      </c>
    </row>
    <row r="482" spans="1:15" ht="45" x14ac:dyDescent="0.25">
      <c r="A482">
        <v>8827</v>
      </c>
      <c r="B482" s="8">
        <v>9</v>
      </c>
      <c r="C482" s="21" t="s">
        <v>424</v>
      </c>
      <c r="D482">
        <v>2016</v>
      </c>
      <c r="E482" s="8">
        <v>13</v>
      </c>
      <c r="F482" s="9">
        <v>22.88</v>
      </c>
      <c r="G482" s="8">
        <v>14</v>
      </c>
      <c r="H482" s="11">
        <v>22.864599999999999</v>
      </c>
      <c r="I482" s="9">
        <v>-10.2416</v>
      </c>
      <c r="J482" s="11" t="s">
        <v>1</v>
      </c>
      <c r="K482" s="8">
        <v>3.9</v>
      </c>
      <c r="L482" s="11">
        <v>4.2</v>
      </c>
      <c r="M482" s="11">
        <v>95</v>
      </c>
      <c r="N482" s="12" t="s">
        <v>15</v>
      </c>
      <c r="O482" s="13" t="s">
        <v>172</v>
      </c>
    </row>
    <row r="483" spans="1:15" ht="75" x14ac:dyDescent="0.25">
      <c r="A483">
        <v>8828</v>
      </c>
      <c r="B483" s="24">
        <v>9</v>
      </c>
      <c r="C483" s="29" t="s">
        <v>424</v>
      </c>
      <c r="D483">
        <v>2016</v>
      </c>
      <c r="E483" s="24">
        <v>22</v>
      </c>
      <c r="F483" s="25">
        <v>59.51</v>
      </c>
      <c r="G483" s="24">
        <v>15</v>
      </c>
      <c r="H483" s="26">
        <v>-16.023599999999998</v>
      </c>
      <c r="I483" s="25">
        <v>48.755299999999998</v>
      </c>
      <c r="J483" s="26" t="s">
        <v>1</v>
      </c>
      <c r="K483" s="24">
        <v>4.0999999999999996</v>
      </c>
      <c r="L483" s="26"/>
      <c r="M483" s="26">
        <v>132</v>
      </c>
      <c r="N483" s="27" t="s">
        <v>177</v>
      </c>
      <c r="O483" s="28" t="s">
        <v>440</v>
      </c>
    </row>
    <row r="484" spans="1:15" ht="30" x14ac:dyDescent="0.25">
      <c r="A484">
        <v>8829</v>
      </c>
      <c r="B484" s="24">
        <v>10</v>
      </c>
      <c r="C484" s="29" t="s">
        <v>424</v>
      </c>
      <c r="D484">
        <v>2016</v>
      </c>
      <c r="E484" s="24">
        <v>25</v>
      </c>
      <c r="F484" s="25">
        <v>46.42</v>
      </c>
      <c r="G484" s="24">
        <v>7</v>
      </c>
      <c r="H484" s="26">
        <v>29.4879</v>
      </c>
      <c r="I484" s="25">
        <v>19.900500000000001</v>
      </c>
      <c r="J484" s="26" t="s">
        <v>1</v>
      </c>
      <c r="K484" s="24">
        <v>3.8</v>
      </c>
      <c r="L484" s="26"/>
      <c r="M484" s="26">
        <v>124</v>
      </c>
      <c r="N484" s="27" t="s">
        <v>48</v>
      </c>
      <c r="O484" s="28" t="s">
        <v>338</v>
      </c>
    </row>
    <row r="485" spans="1:15" ht="45" x14ac:dyDescent="0.25">
      <c r="A485">
        <v>8830</v>
      </c>
      <c r="B485" s="24">
        <v>10</v>
      </c>
      <c r="C485" s="29" t="s">
        <v>424</v>
      </c>
      <c r="D485">
        <v>2016</v>
      </c>
      <c r="E485" s="24">
        <v>17</v>
      </c>
      <c r="F485" s="25">
        <v>43.39</v>
      </c>
      <c r="G485" s="24">
        <v>8</v>
      </c>
      <c r="H485" s="26">
        <v>-1.3519000000000001</v>
      </c>
      <c r="I485" s="25">
        <v>35.494599999999998</v>
      </c>
      <c r="J485" s="26" t="s">
        <v>1</v>
      </c>
      <c r="K485" s="24">
        <v>4.0999999999999996</v>
      </c>
      <c r="L485" s="26"/>
      <c r="M485" s="26">
        <v>3</v>
      </c>
      <c r="N485" s="27" t="s">
        <v>13</v>
      </c>
      <c r="O485" s="28" t="s">
        <v>441</v>
      </c>
    </row>
    <row r="486" spans="1:15" ht="60" x14ac:dyDescent="0.25">
      <c r="A486">
        <v>8831</v>
      </c>
      <c r="B486" s="24">
        <v>10</v>
      </c>
      <c r="C486" s="29" t="s">
        <v>424</v>
      </c>
      <c r="D486">
        <v>2016</v>
      </c>
      <c r="E486" s="24">
        <v>6</v>
      </c>
      <c r="F486" s="25">
        <v>1.99</v>
      </c>
      <c r="G486" s="24">
        <v>20</v>
      </c>
      <c r="H486" s="26">
        <v>-27.466100000000001</v>
      </c>
      <c r="I486" s="25">
        <v>26.101800000000001</v>
      </c>
      <c r="J486" s="26" t="s">
        <v>1</v>
      </c>
      <c r="K486" s="24">
        <v>4.3</v>
      </c>
      <c r="L486" s="26"/>
      <c r="M486" s="26">
        <v>93</v>
      </c>
      <c r="N486" s="27" t="s">
        <v>6</v>
      </c>
      <c r="O486" s="28" t="s">
        <v>442</v>
      </c>
    </row>
    <row r="487" spans="1:15" ht="60" x14ac:dyDescent="0.25">
      <c r="A487">
        <v>8832</v>
      </c>
      <c r="B487" s="24">
        <v>11</v>
      </c>
      <c r="C487" s="29" t="s">
        <v>424</v>
      </c>
      <c r="D487">
        <v>2016</v>
      </c>
      <c r="E487" s="24">
        <v>17</v>
      </c>
      <c r="F487" s="25">
        <v>49.45</v>
      </c>
      <c r="G487" s="24">
        <v>11</v>
      </c>
      <c r="H487" s="26">
        <v>-23.922999999999998</v>
      </c>
      <c r="I487" s="25">
        <v>31.517700000000001</v>
      </c>
      <c r="J487" s="26" t="s">
        <v>1</v>
      </c>
      <c r="K487" s="24">
        <v>3.7</v>
      </c>
      <c r="L487" s="26">
        <v>3.8</v>
      </c>
      <c r="M487" s="26">
        <v>135</v>
      </c>
      <c r="N487" s="27" t="s">
        <v>6</v>
      </c>
      <c r="O487" s="28" t="s">
        <v>426</v>
      </c>
    </row>
    <row r="488" spans="1:15" ht="45" x14ac:dyDescent="0.25">
      <c r="A488">
        <v>8833</v>
      </c>
      <c r="B488" s="8">
        <v>12</v>
      </c>
      <c r="C488" s="21" t="s">
        <v>424</v>
      </c>
      <c r="D488">
        <v>2016</v>
      </c>
      <c r="E488" s="8">
        <v>26</v>
      </c>
      <c r="F488" s="9">
        <v>14.24</v>
      </c>
      <c r="G488" s="8">
        <v>5</v>
      </c>
      <c r="H488" s="11">
        <v>7.3550000000000004</v>
      </c>
      <c r="I488" s="9">
        <v>-3.5611999999999999</v>
      </c>
      <c r="J488" s="11" t="s">
        <v>1</v>
      </c>
      <c r="K488" s="8">
        <v>4</v>
      </c>
      <c r="L488" s="11"/>
      <c r="M488" s="11">
        <v>147</v>
      </c>
      <c r="N488" s="12" t="s">
        <v>15</v>
      </c>
      <c r="O488" s="13" t="s">
        <v>443</v>
      </c>
    </row>
    <row r="489" spans="1:15" ht="75" x14ac:dyDescent="0.25">
      <c r="A489">
        <v>8834</v>
      </c>
      <c r="B489" s="24">
        <v>12</v>
      </c>
      <c r="C489" s="29" t="s">
        <v>424</v>
      </c>
      <c r="D489">
        <v>2016</v>
      </c>
      <c r="E489" s="24">
        <v>58</v>
      </c>
      <c r="F489" s="25">
        <v>27.61</v>
      </c>
      <c r="G489" s="24">
        <v>18</v>
      </c>
      <c r="H489" s="26">
        <v>-30.2559</v>
      </c>
      <c r="I489" s="25">
        <v>48.372199999999999</v>
      </c>
      <c r="J489" s="26" t="s">
        <v>1</v>
      </c>
      <c r="K489" s="24">
        <v>3.5</v>
      </c>
      <c r="L489" s="26"/>
      <c r="M489" s="26">
        <v>165</v>
      </c>
      <c r="N489" s="27" t="s">
        <v>24</v>
      </c>
      <c r="O489" s="28" t="s">
        <v>444</v>
      </c>
    </row>
    <row r="490" spans="1:15" ht="60" x14ac:dyDescent="0.25">
      <c r="A490">
        <v>8835</v>
      </c>
      <c r="B490" s="8">
        <v>13</v>
      </c>
      <c r="C490" s="21" t="s">
        <v>424</v>
      </c>
      <c r="D490">
        <v>2016</v>
      </c>
      <c r="E490" s="8">
        <v>12</v>
      </c>
      <c r="F490" s="9">
        <v>12.09</v>
      </c>
      <c r="G490" s="8">
        <v>6</v>
      </c>
      <c r="H490" s="44">
        <v>7.4710999999999999</v>
      </c>
      <c r="I490" s="44">
        <v>-3.7435999999999998</v>
      </c>
      <c r="J490" s="45" t="s">
        <v>364</v>
      </c>
      <c r="K490" s="8">
        <v>4.0999999999999996</v>
      </c>
      <c r="L490" s="11"/>
      <c r="M490" s="11">
        <v>140</v>
      </c>
      <c r="N490" s="12" t="s">
        <v>15</v>
      </c>
      <c r="O490" s="13" t="s">
        <v>445</v>
      </c>
    </row>
    <row r="491" spans="1:15" ht="45" x14ac:dyDescent="0.25">
      <c r="A491">
        <v>8836</v>
      </c>
      <c r="B491" s="24">
        <v>13</v>
      </c>
      <c r="C491" s="29" t="s">
        <v>424</v>
      </c>
      <c r="D491">
        <v>2016</v>
      </c>
      <c r="E491" s="24">
        <v>41</v>
      </c>
      <c r="F491" s="25">
        <v>10.53</v>
      </c>
      <c r="G491" s="24">
        <v>9</v>
      </c>
      <c r="H491" s="46">
        <v>32.403599999999997</v>
      </c>
      <c r="I491" s="46">
        <v>22.212399999999999</v>
      </c>
      <c r="J491" s="47" t="s">
        <v>364</v>
      </c>
      <c r="K491" s="24"/>
      <c r="L491" s="26">
        <v>4</v>
      </c>
      <c r="M491" s="26">
        <v>173</v>
      </c>
      <c r="N491" s="27" t="s">
        <v>135</v>
      </c>
      <c r="O491" s="28" t="s">
        <v>446</v>
      </c>
    </row>
    <row r="492" spans="1:15" ht="75" x14ac:dyDescent="0.25">
      <c r="A492">
        <v>8837</v>
      </c>
      <c r="B492" s="24">
        <v>13</v>
      </c>
      <c r="C492" s="29" t="s">
        <v>424</v>
      </c>
      <c r="D492">
        <v>2016</v>
      </c>
      <c r="E492" s="24">
        <v>25</v>
      </c>
      <c r="F492" s="25">
        <v>20.97</v>
      </c>
      <c r="G492" s="24">
        <v>14</v>
      </c>
      <c r="H492" s="46">
        <v>-24.2163</v>
      </c>
      <c r="I492" s="46">
        <v>32.055900000000001</v>
      </c>
      <c r="J492" s="47" t="s">
        <v>364</v>
      </c>
      <c r="K492" s="24"/>
      <c r="L492" s="26">
        <v>3.5</v>
      </c>
      <c r="M492" s="26">
        <v>144</v>
      </c>
      <c r="N492" s="27" t="s">
        <v>26</v>
      </c>
      <c r="O492" s="28" t="s">
        <v>447</v>
      </c>
    </row>
    <row r="493" spans="1:15" ht="60" x14ac:dyDescent="0.25">
      <c r="A493">
        <v>8838</v>
      </c>
      <c r="B493" s="24">
        <v>16</v>
      </c>
      <c r="C493" s="29" t="s">
        <v>424</v>
      </c>
      <c r="D493">
        <v>2016</v>
      </c>
      <c r="E493" s="24">
        <v>58</v>
      </c>
      <c r="F493" s="25">
        <v>13.83</v>
      </c>
      <c r="G493" s="24">
        <v>14</v>
      </c>
      <c r="H493" s="46">
        <v>-25.683700000000002</v>
      </c>
      <c r="I493" s="46">
        <v>28.080500000000001</v>
      </c>
      <c r="J493" s="47" t="s">
        <v>355</v>
      </c>
      <c r="K493" s="46">
        <v>2.7</v>
      </c>
      <c r="L493" s="26">
        <v>4.5999999999999996</v>
      </c>
      <c r="M493" s="26">
        <v>120</v>
      </c>
      <c r="N493" s="27" t="s">
        <v>6</v>
      </c>
      <c r="O493" s="28" t="s">
        <v>448</v>
      </c>
    </row>
    <row r="494" spans="1:15" ht="45" x14ac:dyDescent="0.25">
      <c r="A494">
        <v>8839</v>
      </c>
      <c r="B494" s="24">
        <v>16</v>
      </c>
      <c r="C494" s="29" t="s">
        <v>424</v>
      </c>
      <c r="D494">
        <v>2016</v>
      </c>
      <c r="E494" s="24">
        <v>20</v>
      </c>
      <c r="F494" s="25">
        <v>45.72</v>
      </c>
      <c r="G494" s="24">
        <v>23</v>
      </c>
      <c r="H494" s="46">
        <v>-1.0810999999999999</v>
      </c>
      <c r="I494" s="46">
        <v>37.236499999999999</v>
      </c>
      <c r="J494" s="47" t="s">
        <v>355</v>
      </c>
      <c r="K494" s="46">
        <v>4.2</v>
      </c>
      <c r="L494" s="26"/>
      <c r="M494" s="26">
        <v>161</v>
      </c>
      <c r="N494" s="27" t="s">
        <v>13</v>
      </c>
      <c r="O494" s="28" t="s">
        <v>360</v>
      </c>
    </row>
    <row r="495" spans="1:15" ht="60" x14ac:dyDescent="0.25">
      <c r="A495">
        <v>8840</v>
      </c>
      <c r="B495" s="24">
        <v>17</v>
      </c>
      <c r="C495" s="29" t="s">
        <v>424</v>
      </c>
      <c r="D495">
        <v>2016</v>
      </c>
      <c r="E495" s="24">
        <v>9</v>
      </c>
      <c r="F495" s="25">
        <v>46.8</v>
      </c>
      <c r="G495" s="24">
        <v>11</v>
      </c>
      <c r="H495" s="46">
        <v>-1.1172</v>
      </c>
      <c r="I495" s="46">
        <v>37.269199999999998</v>
      </c>
      <c r="J495" s="47" t="s">
        <v>355</v>
      </c>
      <c r="K495" s="46">
        <v>4.3</v>
      </c>
      <c r="L495" s="26"/>
      <c r="M495" s="26">
        <v>61</v>
      </c>
      <c r="N495" s="27" t="s">
        <v>13</v>
      </c>
      <c r="O495" s="28" t="s">
        <v>449</v>
      </c>
    </row>
    <row r="496" spans="1:15" ht="60" x14ac:dyDescent="0.25">
      <c r="A496">
        <v>8841</v>
      </c>
      <c r="B496" s="24">
        <v>17</v>
      </c>
      <c r="C496" s="29" t="s">
        <v>424</v>
      </c>
      <c r="D496">
        <v>2016</v>
      </c>
      <c r="E496" s="24">
        <v>21</v>
      </c>
      <c r="F496" s="25">
        <v>24.26</v>
      </c>
      <c r="G496" s="24">
        <v>11</v>
      </c>
      <c r="H496" s="46">
        <v>31.332699999999999</v>
      </c>
      <c r="I496" s="46">
        <v>27.8691</v>
      </c>
      <c r="J496" s="47" t="s">
        <v>355</v>
      </c>
      <c r="K496" s="46">
        <v>4.0999999999999996</v>
      </c>
      <c r="L496" s="26">
        <v>2.9</v>
      </c>
      <c r="M496" s="26">
        <v>116</v>
      </c>
      <c r="N496" s="27" t="s">
        <v>72</v>
      </c>
      <c r="O496" s="28" t="s">
        <v>450</v>
      </c>
    </row>
    <row r="497" spans="1:15" ht="60" x14ac:dyDescent="0.25">
      <c r="A497">
        <v>8842</v>
      </c>
      <c r="B497" s="24">
        <v>17</v>
      </c>
      <c r="C497" s="29" t="s">
        <v>424</v>
      </c>
      <c r="D497">
        <v>2016</v>
      </c>
      <c r="E497" s="24">
        <v>37</v>
      </c>
      <c r="F497" s="25">
        <v>42.26</v>
      </c>
      <c r="G497" s="24">
        <v>11</v>
      </c>
      <c r="H497" s="46">
        <v>-0.13489999999999999</v>
      </c>
      <c r="I497" s="46">
        <v>36.246600000000001</v>
      </c>
      <c r="J497" s="47" t="s">
        <v>355</v>
      </c>
      <c r="K497" s="46">
        <v>4.3</v>
      </c>
      <c r="L497" s="26"/>
      <c r="M497" s="26">
        <v>44</v>
      </c>
      <c r="N497" s="27" t="s">
        <v>13</v>
      </c>
      <c r="O497" s="28" t="s">
        <v>451</v>
      </c>
    </row>
    <row r="498" spans="1:15" ht="60" x14ac:dyDescent="0.25">
      <c r="A498">
        <v>8843</v>
      </c>
      <c r="B498" s="24">
        <v>17</v>
      </c>
      <c r="C498" s="29" t="s">
        <v>424</v>
      </c>
      <c r="D498">
        <v>2016</v>
      </c>
      <c r="E498" s="24">
        <v>47</v>
      </c>
      <c r="F498" s="25">
        <v>16.04</v>
      </c>
      <c r="G498" s="24">
        <v>11</v>
      </c>
      <c r="H498" s="46">
        <v>2.0375999999999999</v>
      </c>
      <c r="I498" s="46">
        <v>16.256900000000002</v>
      </c>
      <c r="J498" s="47" t="s">
        <v>355</v>
      </c>
      <c r="K498" s="46">
        <v>4.2</v>
      </c>
      <c r="L498" s="26"/>
      <c r="M498" s="26">
        <v>0</v>
      </c>
      <c r="N498" s="27" t="s">
        <v>289</v>
      </c>
      <c r="O498" s="28" t="s">
        <v>452</v>
      </c>
    </row>
    <row r="499" spans="1:15" ht="105" x14ac:dyDescent="0.25">
      <c r="A499">
        <v>8844</v>
      </c>
      <c r="B499" s="24">
        <v>17</v>
      </c>
      <c r="C499" s="29" t="s">
        <v>424</v>
      </c>
      <c r="D499">
        <v>2016</v>
      </c>
      <c r="E499" s="24">
        <v>27</v>
      </c>
      <c r="F499" s="25">
        <v>21.02</v>
      </c>
      <c r="G499" s="24">
        <v>13</v>
      </c>
      <c r="H499" s="46">
        <v>-26.111899999999999</v>
      </c>
      <c r="I499" s="46">
        <v>31.982700000000001</v>
      </c>
      <c r="J499" s="47" t="s">
        <v>355</v>
      </c>
      <c r="K499" s="46">
        <v>4.5999999999999996</v>
      </c>
      <c r="L499" s="26">
        <v>3.2</v>
      </c>
      <c r="M499" s="26">
        <v>135</v>
      </c>
      <c r="N499" s="27" t="s">
        <v>453</v>
      </c>
      <c r="O499" s="28" t="s">
        <v>454</v>
      </c>
    </row>
    <row r="500" spans="1:15" ht="30" x14ac:dyDescent="0.25">
      <c r="A500">
        <v>8845</v>
      </c>
      <c r="B500" s="24">
        <v>18</v>
      </c>
      <c r="C500" s="29" t="s">
        <v>424</v>
      </c>
      <c r="D500">
        <v>2016</v>
      </c>
      <c r="E500" s="24">
        <v>54</v>
      </c>
      <c r="F500" s="25">
        <v>39.68</v>
      </c>
      <c r="G500" s="24">
        <v>3</v>
      </c>
      <c r="H500" s="46">
        <v>16.753599999999999</v>
      </c>
      <c r="I500" s="25">
        <v>23.970199999999998</v>
      </c>
      <c r="J500" s="47" t="s">
        <v>355</v>
      </c>
      <c r="K500" s="46">
        <v>3.7</v>
      </c>
      <c r="L500" s="26"/>
      <c r="M500" s="26">
        <v>118</v>
      </c>
      <c r="N500" s="27" t="s">
        <v>139</v>
      </c>
      <c r="O500" s="28" t="s">
        <v>455</v>
      </c>
    </row>
    <row r="501" spans="1:15" ht="45" x14ac:dyDescent="0.25">
      <c r="A501">
        <v>8846</v>
      </c>
      <c r="B501" s="8">
        <v>18</v>
      </c>
      <c r="C501" s="21" t="s">
        <v>424</v>
      </c>
      <c r="D501">
        <v>2016</v>
      </c>
      <c r="E501" s="8">
        <v>52</v>
      </c>
      <c r="F501" s="9">
        <v>57.57</v>
      </c>
      <c r="G501" s="8">
        <v>7</v>
      </c>
      <c r="H501" s="44">
        <v>13.6013</v>
      </c>
      <c r="I501" s="44">
        <v>-2.7841</v>
      </c>
      <c r="J501" s="45" t="s">
        <v>355</v>
      </c>
      <c r="K501" s="44">
        <v>3.8</v>
      </c>
      <c r="L501" s="11">
        <v>1.9</v>
      </c>
      <c r="M501" s="11">
        <v>19</v>
      </c>
      <c r="N501" s="12" t="s">
        <v>15</v>
      </c>
      <c r="O501" s="13" t="s">
        <v>456</v>
      </c>
    </row>
    <row r="502" spans="1:15" ht="45" x14ac:dyDescent="0.25">
      <c r="A502">
        <v>8847</v>
      </c>
      <c r="B502" s="24">
        <v>19</v>
      </c>
      <c r="C502" s="29" t="s">
        <v>424</v>
      </c>
      <c r="D502">
        <v>2016</v>
      </c>
      <c r="E502" s="24">
        <v>50</v>
      </c>
      <c r="F502" s="25">
        <v>53.91</v>
      </c>
      <c r="G502" s="24">
        <v>5</v>
      </c>
      <c r="H502" s="46">
        <v>-2.1589</v>
      </c>
      <c r="I502" s="46">
        <v>37.211799999999997</v>
      </c>
      <c r="J502" s="47" t="s">
        <v>355</v>
      </c>
      <c r="K502" s="46">
        <v>3.7</v>
      </c>
      <c r="L502" s="26"/>
      <c r="M502" s="26">
        <v>129</v>
      </c>
      <c r="N502" s="27" t="s">
        <v>13</v>
      </c>
      <c r="O502" s="28" t="s">
        <v>228</v>
      </c>
    </row>
    <row r="503" spans="1:15" ht="60" x14ac:dyDescent="0.25">
      <c r="A503">
        <v>8848</v>
      </c>
      <c r="B503" s="24">
        <v>19</v>
      </c>
      <c r="C503" s="29" t="s">
        <v>424</v>
      </c>
      <c r="D503">
        <v>2016</v>
      </c>
      <c r="E503" s="24">
        <v>34</v>
      </c>
      <c r="F503" s="25">
        <v>14.13</v>
      </c>
      <c r="G503" s="24">
        <v>7</v>
      </c>
      <c r="H503" s="46">
        <v>-28.427499999999998</v>
      </c>
      <c r="I503" s="46">
        <v>25.403700000000001</v>
      </c>
      <c r="J503" s="47" t="s">
        <v>355</v>
      </c>
      <c r="K503" s="46">
        <v>4.2</v>
      </c>
      <c r="L503" s="26"/>
      <c r="M503" s="26">
        <v>35</v>
      </c>
      <c r="N503" s="27" t="s">
        <v>6</v>
      </c>
      <c r="O503" s="28" t="s">
        <v>68</v>
      </c>
    </row>
    <row r="504" spans="1:15" ht="45" x14ac:dyDescent="0.25">
      <c r="A504">
        <v>8849</v>
      </c>
      <c r="B504" s="8">
        <v>19</v>
      </c>
      <c r="C504" s="21" t="s">
        <v>424</v>
      </c>
      <c r="D504">
        <v>2016</v>
      </c>
      <c r="E504" s="8">
        <v>2</v>
      </c>
      <c r="F504" s="9">
        <v>21.57</v>
      </c>
      <c r="G504" s="8">
        <v>12</v>
      </c>
      <c r="H504" s="44">
        <v>13.1531</v>
      </c>
      <c r="I504" s="44">
        <v>1.6819</v>
      </c>
      <c r="J504" s="45" t="s">
        <v>355</v>
      </c>
      <c r="K504" s="44">
        <v>3.8</v>
      </c>
      <c r="L504" s="11"/>
      <c r="M504" s="11">
        <v>113</v>
      </c>
      <c r="N504" s="12" t="s">
        <v>15</v>
      </c>
      <c r="O504" s="13" t="s">
        <v>50</v>
      </c>
    </row>
    <row r="505" spans="1:15" ht="105" x14ac:dyDescent="0.25">
      <c r="A505">
        <v>8850</v>
      </c>
      <c r="B505" s="8">
        <v>19</v>
      </c>
      <c r="C505" s="21" t="s">
        <v>424</v>
      </c>
      <c r="D505">
        <v>2016</v>
      </c>
      <c r="E505" s="8">
        <v>3</v>
      </c>
      <c r="F505" s="9">
        <v>4.96</v>
      </c>
      <c r="G505" s="8">
        <v>13</v>
      </c>
      <c r="H505" s="44">
        <v>7.7617000000000003</v>
      </c>
      <c r="I505" s="44">
        <v>-13.630100000000001</v>
      </c>
      <c r="J505" s="45" t="s">
        <v>355</v>
      </c>
      <c r="K505" s="44">
        <v>3.9</v>
      </c>
      <c r="L505" s="11">
        <v>3.2</v>
      </c>
      <c r="M505" s="11">
        <v>153</v>
      </c>
      <c r="N505" s="12" t="s">
        <v>15</v>
      </c>
      <c r="O505" s="13" t="s">
        <v>457</v>
      </c>
    </row>
    <row r="506" spans="1:15" ht="60" x14ac:dyDescent="0.25">
      <c r="A506">
        <v>8851</v>
      </c>
      <c r="B506" s="8">
        <v>19</v>
      </c>
      <c r="C506" s="21" t="s">
        <v>424</v>
      </c>
      <c r="D506">
        <v>2016</v>
      </c>
      <c r="E506" s="8">
        <v>15</v>
      </c>
      <c r="F506" s="9">
        <v>2.83</v>
      </c>
      <c r="G506" s="8">
        <v>13</v>
      </c>
      <c r="H506" s="44">
        <v>6.3141999999999996</v>
      </c>
      <c r="I506" s="44">
        <v>-4.5441000000000003</v>
      </c>
      <c r="J506" s="45" t="s">
        <v>355</v>
      </c>
      <c r="K506" s="44">
        <v>3.9</v>
      </c>
      <c r="L506" s="11"/>
      <c r="M506" s="11">
        <v>56</v>
      </c>
      <c r="N506" s="12" t="s">
        <v>15</v>
      </c>
      <c r="O506" s="13" t="s">
        <v>181</v>
      </c>
    </row>
    <row r="507" spans="1:15" ht="45" x14ac:dyDescent="0.25">
      <c r="A507">
        <v>8852</v>
      </c>
      <c r="B507" s="8">
        <v>20</v>
      </c>
      <c r="C507" s="21" t="s">
        <v>424</v>
      </c>
      <c r="D507">
        <v>2016</v>
      </c>
      <c r="E507" s="8">
        <v>3</v>
      </c>
      <c r="F507" s="9">
        <v>33.49</v>
      </c>
      <c r="G507" s="8">
        <v>4</v>
      </c>
      <c r="H507" s="44">
        <v>6.2538</v>
      </c>
      <c r="I507" s="44">
        <v>-6.2507999999999999</v>
      </c>
      <c r="J507" s="45" t="s">
        <v>355</v>
      </c>
      <c r="K507" s="44">
        <v>4.4000000000000004</v>
      </c>
      <c r="L507" s="11"/>
      <c r="M507" s="11">
        <v>170</v>
      </c>
      <c r="N507" s="12" t="s">
        <v>15</v>
      </c>
      <c r="O507" s="13" t="s">
        <v>141</v>
      </c>
    </row>
    <row r="508" spans="1:15" ht="60" x14ac:dyDescent="0.25">
      <c r="A508">
        <v>8853</v>
      </c>
      <c r="B508" s="24">
        <v>20</v>
      </c>
      <c r="C508" s="29" t="s">
        <v>424</v>
      </c>
      <c r="D508">
        <v>2016</v>
      </c>
      <c r="E508" s="24">
        <v>46</v>
      </c>
      <c r="F508" s="25">
        <v>15.89</v>
      </c>
      <c r="G508" s="24">
        <v>4</v>
      </c>
      <c r="H508" s="46">
        <v>-23.988099999999999</v>
      </c>
      <c r="I508" s="46">
        <v>27.5322</v>
      </c>
      <c r="J508" s="47" t="s">
        <v>355</v>
      </c>
      <c r="K508" s="46">
        <v>4.4000000000000004</v>
      </c>
      <c r="L508" s="26"/>
      <c r="M508" s="26">
        <v>30</v>
      </c>
      <c r="N508" s="27" t="s">
        <v>6</v>
      </c>
      <c r="O508" s="28" t="s">
        <v>458</v>
      </c>
    </row>
    <row r="509" spans="1:15" ht="60" x14ac:dyDescent="0.25">
      <c r="A509">
        <v>8854</v>
      </c>
      <c r="B509" s="24">
        <v>20</v>
      </c>
      <c r="C509" s="29" t="s">
        <v>424</v>
      </c>
      <c r="D509">
        <v>2016</v>
      </c>
      <c r="E509" s="24">
        <v>53</v>
      </c>
      <c r="F509" s="25">
        <v>13.6</v>
      </c>
      <c r="G509" s="24">
        <v>15</v>
      </c>
      <c r="H509" s="46">
        <v>-24.543399999999998</v>
      </c>
      <c r="I509" s="46">
        <v>30.711600000000001</v>
      </c>
      <c r="J509" s="47" t="s">
        <v>355</v>
      </c>
      <c r="K509" s="24"/>
      <c r="L509" s="26">
        <v>3.4</v>
      </c>
      <c r="M509" s="26">
        <v>132</v>
      </c>
      <c r="N509" s="27" t="s">
        <v>6</v>
      </c>
      <c r="O509" s="28" t="s">
        <v>459</v>
      </c>
    </row>
    <row r="510" spans="1:15" ht="45" x14ac:dyDescent="0.25">
      <c r="A510">
        <v>8855</v>
      </c>
      <c r="B510" s="24">
        <v>22</v>
      </c>
      <c r="C510" s="29" t="s">
        <v>424</v>
      </c>
      <c r="D510">
        <v>2016</v>
      </c>
      <c r="E510" s="24">
        <v>2</v>
      </c>
      <c r="F510" s="25">
        <v>44.76</v>
      </c>
      <c r="G510" s="24">
        <v>2</v>
      </c>
      <c r="H510" s="48">
        <v>34.5411</v>
      </c>
      <c r="I510" s="48">
        <v>5.9452999999999996</v>
      </c>
      <c r="J510" s="47" t="s">
        <v>355</v>
      </c>
      <c r="K510" s="46">
        <v>4.0999999999999996</v>
      </c>
      <c r="L510" s="26"/>
      <c r="M510" s="26">
        <v>153</v>
      </c>
      <c r="N510" s="27" t="s">
        <v>10</v>
      </c>
      <c r="O510" s="28" t="s">
        <v>460</v>
      </c>
    </row>
    <row r="511" spans="1:15" ht="45" x14ac:dyDescent="0.25">
      <c r="A511">
        <v>8856</v>
      </c>
      <c r="B511" s="24">
        <v>22</v>
      </c>
      <c r="C511" s="29" t="s">
        <v>424</v>
      </c>
      <c r="D511">
        <v>2016</v>
      </c>
      <c r="E511" s="24">
        <v>20</v>
      </c>
      <c r="F511" s="25">
        <v>13.19</v>
      </c>
      <c r="G511" s="24">
        <v>16</v>
      </c>
      <c r="H511" s="48">
        <v>29.148299999999999</v>
      </c>
      <c r="I511" s="48">
        <v>-6.5574000000000003</v>
      </c>
      <c r="J511" s="47" t="s">
        <v>355</v>
      </c>
      <c r="K511" s="46">
        <v>4.0999999999999996</v>
      </c>
      <c r="L511" s="26">
        <v>3.2</v>
      </c>
      <c r="M511" s="26">
        <v>103</v>
      </c>
      <c r="N511" s="27" t="s">
        <v>28</v>
      </c>
      <c r="O511" s="28" t="s">
        <v>461</v>
      </c>
    </row>
    <row r="512" spans="1:15" ht="45" x14ac:dyDescent="0.25">
      <c r="A512">
        <v>8857</v>
      </c>
      <c r="B512" s="8">
        <v>22</v>
      </c>
      <c r="C512" s="21" t="s">
        <v>424</v>
      </c>
      <c r="D512">
        <v>2016</v>
      </c>
      <c r="E512" s="8">
        <v>36</v>
      </c>
      <c r="F512" s="9">
        <v>40.619999999999997</v>
      </c>
      <c r="G512" s="8">
        <v>17</v>
      </c>
      <c r="H512" s="49">
        <v>6.8893000000000004</v>
      </c>
      <c r="I512" s="49">
        <v>-5.9850000000000003</v>
      </c>
      <c r="J512" s="45" t="s">
        <v>355</v>
      </c>
      <c r="K512" s="8"/>
      <c r="L512" s="11"/>
      <c r="M512" s="11">
        <v>35</v>
      </c>
      <c r="N512" s="12" t="s">
        <v>15</v>
      </c>
      <c r="O512" s="13" t="s">
        <v>462</v>
      </c>
    </row>
    <row r="513" spans="1:15" ht="90" x14ac:dyDescent="0.25">
      <c r="A513">
        <v>8858</v>
      </c>
      <c r="B513" s="24">
        <v>22</v>
      </c>
      <c r="C513" s="29" t="s">
        <v>424</v>
      </c>
      <c r="D513">
        <v>2016</v>
      </c>
      <c r="E513" s="24">
        <v>13</v>
      </c>
      <c r="F513" s="25">
        <v>19.3</v>
      </c>
      <c r="G513" s="24">
        <v>18</v>
      </c>
      <c r="H513" s="48">
        <v>28.558800000000002</v>
      </c>
      <c r="I513" s="48">
        <v>27.669</v>
      </c>
      <c r="J513" s="47" t="s">
        <v>355</v>
      </c>
      <c r="K513" s="46">
        <v>3.9</v>
      </c>
      <c r="L513" s="26">
        <v>3.8</v>
      </c>
      <c r="M513" s="26">
        <v>25</v>
      </c>
      <c r="N513" s="27" t="s">
        <v>72</v>
      </c>
      <c r="O513" s="28" t="s">
        <v>431</v>
      </c>
    </row>
    <row r="514" spans="1:15" ht="45" x14ac:dyDescent="0.25">
      <c r="A514">
        <v>8859</v>
      </c>
      <c r="B514" s="8">
        <v>23</v>
      </c>
      <c r="C514" s="21" t="s">
        <v>424</v>
      </c>
      <c r="D514">
        <v>2016</v>
      </c>
      <c r="E514" s="8">
        <v>12</v>
      </c>
      <c r="F514" s="9">
        <v>33.5</v>
      </c>
      <c r="G514" s="8">
        <v>5</v>
      </c>
      <c r="H514" s="49">
        <v>7.3086000000000002</v>
      </c>
      <c r="I514" s="49">
        <v>-12.0123</v>
      </c>
      <c r="J514" s="45" t="s">
        <v>355</v>
      </c>
      <c r="K514" s="44">
        <v>3.7</v>
      </c>
      <c r="L514" s="11"/>
      <c r="M514" s="11">
        <v>89</v>
      </c>
      <c r="N514" s="12" t="s">
        <v>15</v>
      </c>
      <c r="O514" s="13" t="s">
        <v>463</v>
      </c>
    </row>
    <row r="515" spans="1:15" ht="90" x14ac:dyDescent="0.25">
      <c r="A515">
        <v>8860</v>
      </c>
      <c r="B515" s="24">
        <v>23</v>
      </c>
      <c r="C515" s="29" t="s">
        <v>424</v>
      </c>
      <c r="D515">
        <v>2016</v>
      </c>
      <c r="E515" s="24">
        <v>2</v>
      </c>
      <c r="F515" s="25">
        <v>6.68</v>
      </c>
      <c r="G515" s="24">
        <v>20</v>
      </c>
      <c r="H515" s="48">
        <v>-23.446899999999999</v>
      </c>
      <c r="I515" s="48">
        <v>48.7286</v>
      </c>
      <c r="J515" s="47" t="s">
        <v>355</v>
      </c>
      <c r="K515" s="46">
        <v>4.0999999999999996</v>
      </c>
      <c r="L515" s="26"/>
      <c r="M515" s="26">
        <v>118</v>
      </c>
      <c r="N515" s="27" t="s">
        <v>177</v>
      </c>
      <c r="O515" s="28" t="s">
        <v>464</v>
      </c>
    </row>
    <row r="516" spans="1:15" ht="60" x14ac:dyDescent="0.25">
      <c r="A516">
        <v>8861</v>
      </c>
      <c r="B516" s="24">
        <v>24</v>
      </c>
      <c r="C516" s="29" t="s">
        <v>424</v>
      </c>
      <c r="D516">
        <v>2016</v>
      </c>
      <c r="E516" s="24">
        <v>9</v>
      </c>
      <c r="F516" s="25">
        <v>23.6</v>
      </c>
      <c r="G516" s="24">
        <v>4</v>
      </c>
      <c r="H516" s="48">
        <v>-28.9057</v>
      </c>
      <c r="I516" s="48">
        <v>25.394300000000001</v>
      </c>
      <c r="J516" s="47" t="s">
        <v>355</v>
      </c>
      <c r="K516" s="24"/>
      <c r="L516" s="26"/>
      <c r="M516" s="26">
        <v>154</v>
      </c>
      <c r="N516" s="27" t="s">
        <v>6</v>
      </c>
      <c r="O516" s="28" t="s">
        <v>68</v>
      </c>
    </row>
    <row r="517" spans="1:15" ht="75" x14ac:dyDescent="0.25">
      <c r="A517">
        <v>8862</v>
      </c>
      <c r="B517" s="24">
        <v>24</v>
      </c>
      <c r="C517" s="29" t="s">
        <v>424</v>
      </c>
      <c r="D517">
        <v>2016</v>
      </c>
      <c r="E517" s="24">
        <v>17</v>
      </c>
      <c r="F517" s="25">
        <v>23.69</v>
      </c>
      <c r="G517" s="24">
        <v>4</v>
      </c>
      <c r="H517" s="48">
        <v>32.876800000000003</v>
      </c>
      <c r="I517" s="48">
        <v>11.008599999999999</v>
      </c>
      <c r="J517" s="47" t="s">
        <v>355</v>
      </c>
      <c r="K517" s="46">
        <v>4.0999999999999996</v>
      </c>
      <c r="L517" s="26">
        <v>2.4</v>
      </c>
      <c r="M517" s="26">
        <v>95</v>
      </c>
      <c r="N517" s="27" t="s">
        <v>135</v>
      </c>
      <c r="O517" s="28" t="s">
        <v>465</v>
      </c>
    </row>
    <row r="518" spans="1:15" ht="60" x14ac:dyDescent="0.25">
      <c r="A518">
        <v>8863</v>
      </c>
      <c r="B518" s="8">
        <v>24</v>
      </c>
      <c r="C518" s="21" t="s">
        <v>424</v>
      </c>
      <c r="D518">
        <v>2016</v>
      </c>
      <c r="E518" s="8">
        <v>24</v>
      </c>
      <c r="F518" s="9">
        <v>18.260000000000002</v>
      </c>
      <c r="G518" s="8">
        <v>4</v>
      </c>
      <c r="H518" s="49">
        <v>10.2804</v>
      </c>
      <c r="I518" s="49">
        <v>-10.8637</v>
      </c>
      <c r="J518" s="45" t="s">
        <v>355</v>
      </c>
      <c r="K518" s="44">
        <v>3.7</v>
      </c>
      <c r="L518" s="11"/>
      <c r="M518" s="11">
        <v>133</v>
      </c>
      <c r="N518" s="12" t="s">
        <v>15</v>
      </c>
      <c r="O518" s="13" t="s">
        <v>466</v>
      </c>
    </row>
    <row r="519" spans="1:15" ht="45" x14ac:dyDescent="0.25">
      <c r="A519">
        <v>8864</v>
      </c>
      <c r="B519" s="8">
        <v>25</v>
      </c>
      <c r="C519" s="21" t="s">
        <v>424</v>
      </c>
      <c r="D519">
        <v>2016</v>
      </c>
      <c r="E519" s="8">
        <v>2</v>
      </c>
      <c r="F519" s="9">
        <v>8.49</v>
      </c>
      <c r="G519" s="8">
        <v>0</v>
      </c>
      <c r="H519" s="49">
        <v>13.1479</v>
      </c>
      <c r="I519" s="49">
        <v>2.1391</v>
      </c>
      <c r="J519" s="45" t="s">
        <v>355</v>
      </c>
      <c r="K519" s="44">
        <v>3.9</v>
      </c>
      <c r="L519" s="11"/>
      <c r="M519" s="11">
        <v>172</v>
      </c>
      <c r="N519" s="12" t="s">
        <v>15</v>
      </c>
      <c r="O519" s="13" t="s">
        <v>50</v>
      </c>
    </row>
    <row r="520" spans="1:15" ht="60" x14ac:dyDescent="0.25">
      <c r="A520">
        <v>8865</v>
      </c>
      <c r="B520" s="24">
        <v>25</v>
      </c>
      <c r="C520" s="29" t="s">
        <v>424</v>
      </c>
      <c r="D520">
        <v>2016</v>
      </c>
      <c r="E520" s="24">
        <v>48</v>
      </c>
      <c r="F520" s="25">
        <v>21.97</v>
      </c>
      <c r="G520" s="24">
        <v>0</v>
      </c>
      <c r="H520" s="48">
        <v>-29.530899999999999</v>
      </c>
      <c r="I520" s="48">
        <v>24.119800000000001</v>
      </c>
      <c r="J520" s="47" t="s">
        <v>355</v>
      </c>
      <c r="K520" s="46">
        <v>4.4000000000000004</v>
      </c>
      <c r="L520" s="26"/>
      <c r="M520" s="26">
        <v>130</v>
      </c>
      <c r="N520" s="27" t="s">
        <v>6</v>
      </c>
      <c r="O520" s="28" t="s">
        <v>416</v>
      </c>
    </row>
    <row r="521" spans="1:15" ht="60" x14ac:dyDescent="0.25">
      <c r="A521">
        <v>8866</v>
      </c>
      <c r="B521" s="24">
        <v>26</v>
      </c>
      <c r="C521" s="29" t="s">
        <v>424</v>
      </c>
      <c r="D521">
        <v>2016</v>
      </c>
      <c r="E521" s="24">
        <v>39</v>
      </c>
      <c r="F521" s="25">
        <v>21.94</v>
      </c>
      <c r="G521" s="24">
        <v>18</v>
      </c>
      <c r="H521" s="48">
        <v>-25.432700000000001</v>
      </c>
      <c r="I521" s="25">
        <v>28.208400000000001</v>
      </c>
      <c r="J521" s="47" t="s">
        <v>355</v>
      </c>
      <c r="K521" s="46">
        <v>3.7</v>
      </c>
      <c r="L521" s="26">
        <v>2.7</v>
      </c>
      <c r="M521" s="26">
        <v>128</v>
      </c>
      <c r="N521" s="27" t="s">
        <v>6</v>
      </c>
      <c r="O521" s="28" t="s">
        <v>448</v>
      </c>
    </row>
    <row r="522" spans="1:15" ht="60" x14ac:dyDescent="0.25">
      <c r="A522">
        <v>8867</v>
      </c>
      <c r="B522" s="24">
        <v>27</v>
      </c>
      <c r="C522" s="29" t="s">
        <v>424</v>
      </c>
      <c r="D522">
        <v>2016</v>
      </c>
      <c r="E522" s="24">
        <v>11</v>
      </c>
      <c r="F522" s="25">
        <v>30.91</v>
      </c>
      <c r="G522" s="24">
        <v>15</v>
      </c>
      <c r="H522" s="48">
        <v>-27.563800000000001</v>
      </c>
      <c r="I522" s="48">
        <v>29.6355</v>
      </c>
      <c r="J522" s="47" t="s">
        <v>355</v>
      </c>
      <c r="K522" s="46">
        <v>4.4000000000000004</v>
      </c>
      <c r="L522" s="26">
        <v>2.7</v>
      </c>
      <c r="M522" s="26">
        <v>147</v>
      </c>
      <c r="N522" s="27" t="s">
        <v>6</v>
      </c>
      <c r="O522" s="28" t="s">
        <v>467</v>
      </c>
    </row>
    <row r="523" spans="1:15" ht="45" x14ac:dyDescent="0.25">
      <c r="A523">
        <v>8868</v>
      </c>
      <c r="B523" s="8">
        <v>27</v>
      </c>
      <c r="C523" s="21" t="s">
        <v>424</v>
      </c>
      <c r="D523">
        <v>2016</v>
      </c>
      <c r="E523" s="8">
        <v>7</v>
      </c>
      <c r="F523" s="9">
        <v>43.08</v>
      </c>
      <c r="G523" s="8">
        <v>22</v>
      </c>
      <c r="H523" s="49">
        <v>7.2169999999999996</v>
      </c>
      <c r="I523" s="49">
        <v>-11.165100000000001</v>
      </c>
      <c r="J523" s="45" t="s">
        <v>355</v>
      </c>
      <c r="K523" s="8"/>
      <c r="L523" s="11">
        <v>3.6</v>
      </c>
      <c r="M523" s="11">
        <v>3</v>
      </c>
      <c r="N523" s="12" t="s">
        <v>15</v>
      </c>
      <c r="O523" s="13" t="s">
        <v>468</v>
      </c>
    </row>
    <row r="524" spans="1:15" ht="30" x14ac:dyDescent="0.25">
      <c r="A524">
        <v>8869</v>
      </c>
      <c r="B524" s="24">
        <v>28</v>
      </c>
      <c r="C524" s="29" t="s">
        <v>424</v>
      </c>
      <c r="D524">
        <v>2016</v>
      </c>
      <c r="E524" s="24">
        <v>53</v>
      </c>
      <c r="F524" s="25">
        <v>57.44</v>
      </c>
      <c r="G524" s="24">
        <v>3</v>
      </c>
      <c r="H524" s="48">
        <v>35.689599999999999</v>
      </c>
      <c r="I524" s="48">
        <v>9.3324999999999996</v>
      </c>
      <c r="J524" s="47" t="s">
        <v>355</v>
      </c>
      <c r="K524" s="46">
        <v>4.0999999999999996</v>
      </c>
      <c r="L524" s="26"/>
      <c r="M524" s="26">
        <v>15</v>
      </c>
      <c r="N524" s="27" t="s">
        <v>2</v>
      </c>
      <c r="O524" s="28" t="s">
        <v>469</v>
      </c>
    </row>
    <row r="525" spans="1:15" ht="45" x14ac:dyDescent="0.25">
      <c r="A525">
        <v>8870</v>
      </c>
      <c r="B525" s="8">
        <v>28</v>
      </c>
      <c r="C525" s="21" t="s">
        <v>424</v>
      </c>
      <c r="D525">
        <v>2016</v>
      </c>
      <c r="E525" s="8">
        <v>12</v>
      </c>
      <c r="F525" s="9">
        <v>3.95</v>
      </c>
      <c r="G525" s="8">
        <v>5</v>
      </c>
      <c r="H525" s="49">
        <v>20.762799999999999</v>
      </c>
      <c r="I525" s="49">
        <v>-2.8778000000000001</v>
      </c>
      <c r="J525" s="45" t="s">
        <v>355</v>
      </c>
      <c r="K525" s="44">
        <v>4.2</v>
      </c>
      <c r="L525" s="11"/>
      <c r="M525" s="11">
        <v>129</v>
      </c>
      <c r="N525" s="12" t="s">
        <v>15</v>
      </c>
      <c r="O525" s="13" t="s">
        <v>203</v>
      </c>
    </row>
    <row r="526" spans="1:15" ht="90" x14ac:dyDescent="0.25">
      <c r="A526">
        <v>8871</v>
      </c>
      <c r="B526" s="24">
        <v>28</v>
      </c>
      <c r="C526" s="29" t="s">
        <v>424</v>
      </c>
      <c r="D526">
        <v>2016</v>
      </c>
      <c r="E526" s="24">
        <v>51</v>
      </c>
      <c r="F526" s="25">
        <v>11.78</v>
      </c>
      <c r="G526" s="24">
        <v>12</v>
      </c>
      <c r="H526" s="48">
        <v>-39.9604</v>
      </c>
      <c r="I526" s="48">
        <v>30.7759</v>
      </c>
      <c r="J526" s="47" t="s">
        <v>355</v>
      </c>
      <c r="K526" s="46">
        <v>4.5</v>
      </c>
      <c r="L526" s="26"/>
      <c r="M526" s="26">
        <v>85</v>
      </c>
      <c r="N526" s="27" t="s">
        <v>24</v>
      </c>
      <c r="O526" s="28" t="s">
        <v>370</v>
      </c>
    </row>
    <row r="527" spans="1:15" ht="30" x14ac:dyDescent="0.25">
      <c r="A527">
        <v>8872</v>
      </c>
      <c r="B527" s="24">
        <v>28</v>
      </c>
      <c r="C527" s="29" t="s">
        <v>424</v>
      </c>
      <c r="D527">
        <v>2016</v>
      </c>
      <c r="E527" s="24">
        <v>19</v>
      </c>
      <c r="F527" s="25">
        <v>11.44</v>
      </c>
      <c r="G527" s="24">
        <v>13</v>
      </c>
      <c r="H527" s="48">
        <v>9.2411999999999992</v>
      </c>
      <c r="I527" s="48">
        <v>32.486699999999999</v>
      </c>
      <c r="J527" s="47" t="s">
        <v>355</v>
      </c>
      <c r="K527" s="46">
        <v>4</v>
      </c>
      <c r="L527" s="26"/>
      <c r="M527" s="26">
        <v>13</v>
      </c>
      <c r="N527" s="27" t="s">
        <v>117</v>
      </c>
      <c r="O527" s="28" t="s">
        <v>470</v>
      </c>
    </row>
    <row r="528" spans="1:15" ht="105" x14ac:dyDescent="0.25">
      <c r="A528">
        <v>8873</v>
      </c>
      <c r="B528" s="24">
        <v>29</v>
      </c>
      <c r="C528" s="29" t="s">
        <v>424</v>
      </c>
      <c r="D528">
        <v>2016</v>
      </c>
      <c r="E528" s="24">
        <v>52</v>
      </c>
      <c r="F528" s="25">
        <v>23.78</v>
      </c>
      <c r="G528" s="24">
        <v>2</v>
      </c>
      <c r="H528" s="48">
        <v>33.942500000000003</v>
      </c>
      <c r="I528" s="48">
        <v>-7.4512</v>
      </c>
      <c r="J528" s="47" t="s">
        <v>355</v>
      </c>
      <c r="K528" s="46">
        <v>3.6</v>
      </c>
      <c r="L528" s="26">
        <v>3.2</v>
      </c>
      <c r="M528" s="26">
        <v>0</v>
      </c>
      <c r="N528" s="27" t="s">
        <v>28</v>
      </c>
      <c r="O528" s="28" t="s">
        <v>471</v>
      </c>
    </row>
    <row r="529" spans="1:15" ht="60" x14ac:dyDescent="0.25">
      <c r="A529">
        <v>8874</v>
      </c>
      <c r="B529" s="24">
        <v>29</v>
      </c>
      <c r="C529" s="29" t="s">
        <v>424</v>
      </c>
      <c r="D529">
        <v>2016</v>
      </c>
      <c r="E529" s="24">
        <v>0</v>
      </c>
      <c r="F529" s="25">
        <v>19.04</v>
      </c>
      <c r="G529" s="24">
        <v>23</v>
      </c>
      <c r="H529" s="48">
        <v>-28.046299999999999</v>
      </c>
      <c r="I529" s="48">
        <v>23.8232</v>
      </c>
      <c r="J529" s="47" t="s">
        <v>355</v>
      </c>
      <c r="K529" s="46">
        <v>3.8</v>
      </c>
      <c r="L529" s="26"/>
      <c r="M529" s="26">
        <v>37</v>
      </c>
      <c r="N529" s="27" t="s">
        <v>6</v>
      </c>
      <c r="O529" s="28" t="s">
        <v>53</v>
      </c>
    </row>
    <row r="530" spans="1:15" ht="60" x14ac:dyDescent="0.25">
      <c r="A530">
        <v>8875</v>
      </c>
      <c r="B530" s="24">
        <v>30</v>
      </c>
      <c r="C530" s="29" t="s">
        <v>424</v>
      </c>
      <c r="D530">
        <v>2016</v>
      </c>
      <c r="E530" s="24">
        <v>31</v>
      </c>
      <c r="F530" s="25">
        <v>7.66</v>
      </c>
      <c r="G530" s="24">
        <v>6</v>
      </c>
      <c r="H530" s="48">
        <v>-28.685600000000001</v>
      </c>
      <c r="I530" s="48">
        <v>25.472000000000001</v>
      </c>
      <c r="J530" s="47" t="s">
        <v>355</v>
      </c>
      <c r="K530" s="46">
        <v>4.4000000000000004</v>
      </c>
      <c r="L530" s="26"/>
      <c r="M530" s="26">
        <v>99</v>
      </c>
      <c r="N530" s="27" t="s">
        <v>6</v>
      </c>
      <c r="O530" s="28" t="s">
        <v>68</v>
      </c>
    </row>
    <row r="531" spans="1:15" ht="45" x14ac:dyDescent="0.25">
      <c r="A531">
        <v>8876</v>
      </c>
      <c r="B531" s="8">
        <v>30</v>
      </c>
      <c r="C531" s="21" t="s">
        <v>424</v>
      </c>
      <c r="D531">
        <v>2016</v>
      </c>
      <c r="E531" s="8">
        <v>6</v>
      </c>
      <c r="F531" s="9">
        <v>24.84</v>
      </c>
      <c r="G531" s="8">
        <v>9</v>
      </c>
      <c r="H531" s="49">
        <v>12.9497</v>
      </c>
      <c r="I531" s="49">
        <v>2.3694000000000002</v>
      </c>
      <c r="J531" s="45" t="s">
        <v>355</v>
      </c>
      <c r="K531" s="44">
        <v>4.2</v>
      </c>
      <c r="L531" s="11"/>
      <c r="M531" s="11">
        <v>4</v>
      </c>
      <c r="N531" s="12" t="s">
        <v>15</v>
      </c>
      <c r="O531" s="13" t="s">
        <v>50</v>
      </c>
    </row>
    <row r="532" spans="1:15" ht="105" x14ac:dyDescent="0.25">
      <c r="A532">
        <v>8877</v>
      </c>
      <c r="B532" s="8">
        <v>31</v>
      </c>
      <c r="C532" s="21" t="s">
        <v>424</v>
      </c>
      <c r="D532">
        <v>2016</v>
      </c>
      <c r="E532" s="8">
        <v>2</v>
      </c>
      <c r="F532" s="9">
        <v>55.77</v>
      </c>
      <c r="G532" s="8">
        <v>2</v>
      </c>
      <c r="H532" s="49">
        <v>6.2648999999999999</v>
      </c>
      <c r="I532" s="49">
        <v>-12.119899999999999</v>
      </c>
      <c r="J532" s="45" t="s">
        <v>355</v>
      </c>
      <c r="K532" s="44">
        <v>3.6</v>
      </c>
      <c r="L532" s="11">
        <v>3.2</v>
      </c>
      <c r="M532" s="11">
        <v>179</v>
      </c>
      <c r="N532" s="12" t="s">
        <v>15</v>
      </c>
      <c r="O532" s="13" t="s">
        <v>472</v>
      </c>
    </row>
    <row r="533" spans="1:15" ht="45" x14ac:dyDescent="0.25">
      <c r="A533">
        <v>8878</v>
      </c>
      <c r="B533" s="8">
        <v>31</v>
      </c>
      <c r="C533" s="21" t="s">
        <v>424</v>
      </c>
      <c r="D533">
        <v>2016</v>
      </c>
      <c r="E533" s="8">
        <v>26</v>
      </c>
      <c r="F533" s="9">
        <v>5.34</v>
      </c>
      <c r="G533" s="8">
        <v>8</v>
      </c>
      <c r="H533" s="49">
        <v>13.508900000000001</v>
      </c>
      <c r="I533" s="49">
        <v>3.0701000000000001</v>
      </c>
      <c r="J533" s="45" t="s">
        <v>355</v>
      </c>
      <c r="K533" s="44">
        <v>4.3</v>
      </c>
      <c r="L533" s="11"/>
      <c r="M533" s="11">
        <v>3</v>
      </c>
      <c r="N533" s="12" t="s">
        <v>15</v>
      </c>
      <c r="O533" s="13" t="s">
        <v>473</v>
      </c>
    </row>
    <row r="534" spans="1:15" ht="60" x14ac:dyDescent="0.25">
      <c r="A534">
        <v>8879</v>
      </c>
      <c r="B534" s="24">
        <v>31</v>
      </c>
      <c r="C534" s="29" t="s">
        <v>424</v>
      </c>
      <c r="D534">
        <v>2016</v>
      </c>
      <c r="E534" s="24">
        <v>23</v>
      </c>
      <c r="F534" s="25">
        <v>33.39</v>
      </c>
      <c r="G534" s="24">
        <v>11</v>
      </c>
      <c r="H534" s="48">
        <v>-29.325700000000001</v>
      </c>
      <c r="I534" s="48">
        <v>22.7057</v>
      </c>
      <c r="J534" s="47" t="s">
        <v>355</v>
      </c>
      <c r="K534" s="46">
        <v>4.5</v>
      </c>
      <c r="L534" s="26"/>
      <c r="M534" s="26">
        <v>121</v>
      </c>
      <c r="N534" s="27" t="s">
        <v>6</v>
      </c>
      <c r="O534" s="28" t="s">
        <v>474</v>
      </c>
    </row>
    <row r="535" spans="1:15" ht="45" x14ac:dyDescent="0.25">
      <c r="A535">
        <v>8880</v>
      </c>
      <c r="B535" s="24">
        <v>31</v>
      </c>
      <c r="C535" s="29" t="s">
        <v>424</v>
      </c>
      <c r="D535">
        <v>2016</v>
      </c>
      <c r="E535" s="24">
        <v>4</v>
      </c>
      <c r="F535" s="25">
        <v>26.73</v>
      </c>
      <c r="G535" s="24">
        <v>18</v>
      </c>
      <c r="H535" s="48">
        <v>0.87190000000000001</v>
      </c>
      <c r="I535" s="48">
        <v>40.211599999999997</v>
      </c>
      <c r="J535" s="47" t="s">
        <v>355</v>
      </c>
      <c r="K535" s="24"/>
      <c r="L535" s="26"/>
      <c r="M535" s="26">
        <v>142</v>
      </c>
      <c r="N535" s="27" t="s">
        <v>13</v>
      </c>
      <c r="O535" s="28" t="s">
        <v>414</v>
      </c>
    </row>
    <row r="536" spans="1:15" ht="30" x14ac:dyDescent="0.25">
      <c r="A536">
        <v>8881</v>
      </c>
      <c r="B536" s="24">
        <v>31</v>
      </c>
      <c r="C536" s="29" t="s">
        <v>424</v>
      </c>
      <c r="D536">
        <v>2016</v>
      </c>
      <c r="E536" s="24">
        <v>37</v>
      </c>
      <c r="F536" s="25">
        <v>55.5</v>
      </c>
      <c r="G536" s="24">
        <v>18</v>
      </c>
      <c r="H536" s="48">
        <v>35.009300000000003</v>
      </c>
      <c r="I536" s="48">
        <v>9.9171999999999993</v>
      </c>
      <c r="J536" s="47" t="s">
        <v>355</v>
      </c>
      <c r="K536" s="46">
        <v>4</v>
      </c>
      <c r="L536" s="26"/>
      <c r="M536" s="26">
        <v>63</v>
      </c>
      <c r="N536" s="27" t="s">
        <v>2</v>
      </c>
      <c r="O536" s="28" t="s">
        <v>475</v>
      </c>
    </row>
    <row r="537" spans="1:15" ht="45" x14ac:dyDescent="0.25">
      <c r="A537">
        <v>8882</v>
      </c>
      <c r="B537" s="24">
        <v>31</v>
      </c>
      <c r="C537" s="29" t="s">
        <v>424</v>
      </c>
      <c r="D537">
        <v>2016</v>
      </c>
      <c r="E537" s="24">
        <v>17</v>
      </c>
      <c r="F537" s="25">
        <v>44.85</v>
      </c>
      <c r="G537" s="24">
        <v>19</v>
      </c>
      <c r="H537" s="48">
        <v>-1.8320000000000001</v>
      </c>
      <c r="I537" s="48">
        <v>36.536200000000001</v>
      </c>
      <c r="J537" s="47" t="s">
        <v>355</v>
      </c>
      <c r="K537" s="46">
        <v>3.9</v>
      </c>
      <c r="L537" s="26"/>
      <c r="M537" s="26">
        <v>180</v>
      </c>
      <c r="N537" s="27" t="s">
        <v>13</v>
      </c>
      <c r="O537" s="28" t="s">
        <v>228</v>
      </c>
    </row>
    <row r="538" spans="1:15" ht="45" x14ac:dyDescent="0.25">
      <c r="A538">
        <v>8883</v>
      </c>
      <c r="B538" s="8">
        <v>31</v>
      </c>
      <c r="C538" s="21" t="s">
        <v>424</v>
      </c>
      <c r="D538">
        <v>2016</v>
      </c>
      <c r="E538" s="8">
        <v>4</v>
      </c>
      <c r="F538" s="9">
        <v>3.19</v>
      </c>
      <c r="G538" s="8">
        <v>22</v>
      </c>
      <c r="H538" s="49">
        <v>5.6162999999999998</v>
      </c>
      <c r="I538" s="49">
        <v>-3.9647999999999999</v>
      </c>
      <c r="J538" s="45" t="s">
        <v>355</v>
      </c>
      <c r="K538" s="44">
        <v>4.0999999999999996</v>
      </c>
      <c r="L538" s="11"/>
      <c r="M538" s="11">
        <v>18</v>
      </c>
      <c r="N538" s="12" t="s">
        <v>15</v>
      </c>
      <c r="O538" s="13" t="s">
        <v>221</v>
      </c>
    </row>
    <row r="539" spans="1:15" ht="45" x14ac:dyDescent="0.25">
      <c r="A539">
        <v>8884</v>
      </c>
      <c r="B539" s="8">
        <v>1</v>
      </c>
      <c r="C539" s="21" t="s">
        <v>476</v>
      </c>
      <c r="D539">
        <v>2017</v>
      </c>
      <c r="E539" s="8">
        <v>28</v>
      </c>
      <c r="F539" s="9">
        <v>59.23</v>
      </c>
      <c r="G539" s="8">
        <v>1</v>
      </c>
      <c r="H539" s="9">
        <v>7.0648999999999997</v>
      </c>
      <c r="I539" s="9">
        <v>-8.6250999999999998</v>
      </c>
      <c r="J539" s="45" t="s">
        <v>355</v>
      </c>
      <c r="K539" s="8"/>
      <c r="L539" s="11">
        <v>2.6</v>
      </c>
      <c r="M539" s="11">
        <v>0</v>
      </c>
      <c r="N539" s="12" t="s">
        <v>15</v>
      </c>
      <c r="O539" s="13" t="s">
        <v>477</v>
      </c>
    </row>
    <row r="540" spans="1:15" ht="45" x14ac:dyDescent="0.25">
      <c r="A540">
        <v>8885</v>
      </c>
      <c r="B540" s="8">
        <v>1</v>
      </c>
      <c r="C540" s="21" t="s">
        <v>476</v>
      </c>
      <c r="D540">
        <v>2017</v>
      </c>
      <c r="E540" s="8">
        <v>52</v>
      </c>
      <c r="F540" s="8">
        <v>16.77</v>
      </c>
      <c r="G540" s="8">
        <v>6</v>
      </c>
      <c r="H540" s="9">
        <v>18.6997</v>
      </c>
      <c r="I540" s="9">
        <v>11.4169</v>
      </c>
      <c r="J540" s="45" t="s">
        <v>355</v>
      </c>
      <c r="K540" s="38">
        <v>4</v>
      </c>
      <c r="L540" s="11">
        <v>4.2</v>
      </c>
      <c r="M540" s="11">
        <v>159</v>
      </c>
      <c r="N540" s="12" t="s">
        <v>15</v>
      </c>
      <c r="O540" s="13" t="s">
        <v>478</v>
      </c>
    </row>
    <row r="541" spans="1:15" ht="30" x14ac:dyDescent="0.25">
      <c r="A541">
        <v>8886</v>
      </c>
      <c r="B541" s="24">
        <v>1</v>
      </c>
      <c r="C541" s="29" t="s">
        <v>476</v>
      </c>
      <c r="D541">
        <v>2017</v>
      </c>
      <c r="E541" s="24">
        <v>36</v>
      </c>
      <c r="F541" s="25">
        <v>42.73</v>
      </c>
      <c r="G541" s="24">
        <v>19</v>
      </c>
      <c r="H541" s="25">
        <v>11.5304</v>
      </c>
      <c r="I541" s="25">
        <v>36.254800000000003</v>
      </c>
      <c r="J541" s="47" t="s">
        <v>355</v>
      </c>
      <c r="K541" s="24">
        <v>3.9</v>
      </c>
      <c r="L541" s="26">
        <v>2.8</v>
      </c>
      <c r="M541" s="26">
        <v>107</v>
      </c>
      <c r="N541" s="27" t="s">
        <v>57</v>
      </c>
      <c r="O541" s="28" t="s">
        <v>479</v>
      </c>
    </row>
    <row r="542" spans="1:15" ht="90" x14ac:dyDescent="0.25">
      <c r="A542">
        <v>8887</v>
      </c>
      <c r="B542" s="24">
        <v>2</v>
      </c>
      <c r="C542" s="29" t="s">
        <v>476</v>
      </c>
      <c r="D542">
        <v>2017</v>
      </c>
      <c r="E542" s="24">
        <v>56</v>
      </c>
      <c r="F542" s="25">
        <v>4.37</v>
      </c>
      <c r="G542" s="24">
        <v>5</v>
      </c>
      <c r="H542" s="25">
        <v>-24.147300000000001</v>
      </c>
      <c r="I542" s="25">
        <v>29.3005</v>
      </c>
      <c r="J542" s="47" t="s">
        <v>355</v>
      </c>
      <c r="K542" s="24">
        <v>3.7</v>
      </c>
      <c r="L542" s="26">
        <v>3.3</v>
      </c>
      <c r="M542" s="26">
        <v>127</v>
      </c>
      <c r="N542" s="27" t="s">
        <v>6</v>
      </c>
      <c r="O542" s="28" t="s">
        <v>480</v>
      </c>
    </row>
    <row r="543" spans="1:15" ht="45" x14ac:dyDescent="0.25">
      <c r="A543">
        <v>8888</v>
      </c>
      <c r="B543" s="24">
        <v>2</v>
      </c>
      <c r="C543" s="29" t="s">
        <v>476</v>
      </c>
      <c r="D543">
        <v>2017</v>
      </c>
      <c r="E543" s="24">
        <v>53</v>
      </c>
      <c r="F543" s="25">
        <v>39.75</v>
      </c>
      <c r="G543" s="24">
        <v>8</v>
      </c>
      <c r="H543" s="25">
        <v>-1.5561</v>
      </c>
      <c r="I543" s="37">
        <v>38.518000000000001</v>
      </c>
      <c r="J543" s="47" t="s">
        <v>355</v>
      </c>
      <c r="K543" s="24">
        <v>4.3</v>
      </c>
      <c r="L543" s="26"/>
      <c r="M543" s="26">
        <v>8</v>
      </c>
      <c r="N543" s="27" t="s">
        <v>13</v>
      </c>
      <c r="O543" s="28" t="s">
        <v>379</v>
      </c>
    </row>
    <row r="544" spans="1:15" ht="60" x14ac:dyDescent="0.25">
      <c r="A544">
        <v>8889</v>
      </c>
      <c r="B544" s="8">
        <v>2</v>
      </c>
      <c r="C544" s="21" t="s">
        <v>476</v>
      </c>
      <c r="D544">
        <v>2017</v>
      </c>
      <c r="E544" s="8">
        <v>31</v>
      </c>
      <c r="F544" s="9">
        <v>53.67</v>
      </c>
      <c r="G544" s="8">
        <v>10</v>
      </c>
      <c r="H544" s="9">
        <v>20.938400000000001</v>
      </c>
      <c r="I544" s="9">
        <v>-10.1959</v>
      </c>
      <c r="J544" s="45" t="s">
        <v>355</v>
      </c>
      <c r="K544" s="8">
        <v>3.9</v>
      </c>
      <c r="L544" s="11"/>
      <c r="M544" s="11">
        <v>27</v>
      </c>
      <c r="N544" s="12" t="s">
        <v>15</v>
      </c>
      <c r="O544" s="13" t="s">
        <v>481</v>
      </c>
    </row>
    <row r="545" spans="1:15" ht="45" x14ac:dyDescent="0.25">
      <c r="A545">
        <v>8890</v>
      </c>
      <c r="B545" s="24">
        <v>2</v>
      </c>
      <c r="C545" s="29" t="s">
        <v>476</v>
      </c>
      <c r="D545">
        <v>2017</v>
      </c>
      <c r="E545" s="24">
        <v>37</v>
      </c>
      <c r="F545" s="40">
        <v>12.3</v>
      </c>
      <c r="G545" s="24">
        <v>13</v>
      </c>
      <c r="H545" s="25">
        <v>27.863199999999999</v>
      </c>
      <c r="I545" s="25">
        <v>1.8673</v>
      </c>
      <c r="J545" s="47" t="s">
        <v>355</v>
      </c>
      <c r="K545" s="24">
        <v>4.0999999999999996</v>
      </c>
      <c r="L545" s="26">
        <v>3.4</v>
      </c>
      <c r="M545" s="26">
        <v>109</v>
      </c>
      <c r="N545" s="27" t="s">
        <v>110</v>
      </c>
      <c r="O545" s="28" t="s">
        <v>299</v>
      </c>
    </row>
    <row r="546" spans="1:15" ht="45" x14ac:dyDescent="0.25">
      <c r="A546">
        <v>8891</v>
      </c>
      <c r="B546" s="8">
        <v>3</v>
      </c>
      <c r="C546" s="21" t="s">
        <v>476</v>
      </c>
      <c r="D546">
        <v>2017</v>
      </c>
      <c r="E546" s="8">
        <v>6</v>
      </c>
      <c r="F546" s="9">
        <v>12.01</v>
      </c>
      <c r="G546" s="8">
        <v>0</v>
      </c>
      <c r="H546" s="9">
        <v>16.623200000000001</v>
      </c>
      <c r="I546" s="9">
        <v>-14.8306</v>
      </c>
      <c r="J546" s="45" t="s">
        <v>355</v>
      </c>
      <c r="K546" s="8">
        <v>3.7</v>
      </c>
      <c r="L546" s="11">
        <v>2.9</v>
      </c>
      <c r="M546" s="11">
        <v>66</v>
      </c>
      <c r="N546" s="12" t="s">
        <v>15</v>
      </c>
      <c r="O546" s="13" t="s">
        <v>482</v>
      </c>
    </row>
    <row r="547" spans="1:15" ht="45" x14ac:dyDescent="0.25">
      <c r="A547">
        <v>8892</v>
      </c>
      <c r="B547" s="8">
        <v>3</v>
      </c>
      <c r="C547" s="21" t="s">
        <v>476</v>
      </c>
      <c r="D547">
        <v>2017</v>
      </c>
      <c r="E547" s="8">
        <v>44</v>
      </c>
      <c r="F547" s="9">
        <v>38.71</v>
      </c>
      <c r="G547" s="8">
        <v>17</v>
      </c>
      <c r="H547" s="9">
        <v>11.4902</v>
      </c>
      <c r="I547" s="9">
        <v>11.307700000000001</v>
      </c>
      <c r="J547" s="45" t="s">
        <v>355</v>
      </c>
      <c r="K547" s="8">
        <v>4.0999999999999996</v>
      </c>
      <c r="L547" s="11"/>
      <c r="M547" s="11">
        <v>42</v>
      </c>
      <c r="N547" s="12" t="s">
        <v>15</v>
      </c>
      <c r="O547" s="13" t="s">
        <v>483</v>
      </c>
    </row>
    <row r="548" spans="1:15" ht="45" x14ac:dyDescent="0.25">
      <c r="A548">
        <v>8893</v>
      </c>
      <c r="B548" s="24">
        <v>3</v>
      </c>
      <c r="C548" s="29" t="s">
        <v>476</v>
      </c>
      <c r="D548">
        <v>2017</v>
      </c>
      <c r="E548" s="24">
        <v>45</v>
      </c>
      <c r="F548" s="25">
        <v>51.51</v>
      </c>
      <c r="G548" s="24">
        <v>19</v>
      </c>
      <c r="H548" s="37">
        <v>1.2689999999999999</v>
      </c>
      <c r="I548" s="25">
        <v>30.6191</v>
      </c>
      <c r="J548" s="47" t="s">
        <v>355</v>
      </c>
      <c r="K548" s="24">
        <v>4.0999999999999996</v>
      </c>
      <c r="L548" s="26"/>
      <c r="M548" s="26">
        <v>2</v>
      </c>
      <c r="N548" s="27" t="s">
        <v>484</v>
      </c>
      <c r="O548" s="28" t="s">
        <v>485</v>
      </c>
    </row>
    <row r="549" spans="1:15" ht="60" x14ac:dyDescent="0.25">
      <c r="A549">
        <v>8894</v>
      </c>
      <c r="B549" s="24">
        <v>3</v>
      </c>
      <c r="C549" s="29" t="s">
        <v>476</v>
      </c>
      <c r="D549">
        <v>2017</v>
      </c>
      <c r="E549" s="24">
        <v>16</v>
      </c>
      <c r="F549" s="25">
        <v>39.69</v>
      </c>
      <c r="G549" s="24">
        <v>23</v>
      </c>
      <c r="H549" s="25">
        <v>-29.3186</v>
      </c>
      <c r="I549" s="25">
        <v>24.6707</v>
      </c>
      <c r="J549" s="47" t="s">
        <v>355</v>
      </c>
      <c r="K549" s="24">
        <v>4.2</v>
      </c>
      <c r="L549" s="26"/>
      <c r="M549" s="26">
        <v>158</v>
      </c>
      <c r="N549" s="27" t="s">
        <v>6</v>
      </c>
      <c r="O549" s="28" t="s">
        <v>236</v>
      </c>
    </row>
    <row r="550" spans="1:15" ht="60" x14ac:dyDescent="0.25">
      <c r="A550">
        <v>8895</v>
      </c>
      <c r="B550" s="24">
        <v>4</v>
      </c>
      <c r="C550" s="29" t="s">
        <v>476</v>
      </c>
      <c r="D550">
        <v>2017</v>
      </c>
      <c r="E550" s="24">
        <v>19</v>
      </c>
      <c r="F550" s="25">
        <v>19.809999999999999</v>
      </c>
      <c r="G550" s="24">
        <v>1</v>
      </c>
      <c r="H550" s="25">
        <v>-26.170100000000001</v>
      </c>
      <c r="I550" s="25">
        <v>25.966799999999999</v>
      </c>
      <c r="J550" s="47" t="s">
        <v>355</v>
      </c>
      <c r="K550" s="24">
        <v>4.3</v>
      </c>
      <c r="L550" s="26"/>
      <c r="M550" s="26">
        <v>87</v>
      </c>
      <c r="N550" s="27" t="s">
        <v>6</v>
      </c>
      <c r="O550" s="28" t="s">
        <v>486</v>
      </c>
    </row>
    <row r="551" spans="1:15" ht="45" x14ac:dyDescent="0.25">
      <c r="A551">
        <v>8896</v>
      </c>
      <c r="B551" s="8">
        <v>4</v>
      </c>
      <c r="C551" s="21" t="s">
        <v>476</v>
      </c>
      <c r="D551">
        <v>2017</v>
      </c>
      <c r="E551" s="8">
        <v>59</v>
      </c>
      <c r="F551" s="9">
        <v>16.39</v>
      </c>
      <c r="G551" s="8">
        <v>6</v>
      </c>
      <c r="H551" s="9">
        <v>12.603400000000001</v>
      </c>
      <c r="I551" s="9">
        <v>-7.7944000000000004</v>
      </c>
      <c r="J551" s="45" t="s">
        <v>355</v>
      </c>
      <c r="K551" s="8">
        <v>4.3</v>
      </c>
      <c r="L551" s="11">
        <v>2.5</v>
      </c>
      <c r="M551" s="11">
        <v>98</v>
      </c>
      <c r="N551" s="12" t="s">
        <v>15</v>
      </c>
      <c r="O551" s="13" t="s">
        <v>487</v>
      </c>
    </row>
    <row r="552" spans="1:15" ht="105" x14ac:dyDescent="0.25">
      <c r="A552">
        <v>8897</v>
      </c>
      <c r="B552" s="24">
        <v>5</v>
      </c>
      <c r="C552" s="29" t="s">
        <v>476</v>
      </c>
      <c r="D552">
        <v>2017</v>
      </c>
      <c r="E552" s="24">
        <v>54</v>
      </c>
      <c r="F552" s="25">
        <v>24.57</v>
      </c>
      <c r="G552" s="24">
        <v>16</v>
      </c>
      <c r="H552" s="25">
        <v>-5.0308999999999999</v>
      </c>
      <c r="I552" s="25">
        <v>13.053100000000001</v>
      </c>
      <c r="J552" s="47" t="s">
        <v>355</v>
      </c>
      <c r="K552" s="24">
        <v>4.2</v>
      </c>
      <c r="L552" s="26"/>
      <c r="M552" s="26">
        <v>67</v>
      </c>
      <c r="N552" s="27" t="s">
        <v>8</v>
      </c>
      <c r="O552" s="28" t="s">
        <v>488</v>
      </c>
    </row>
    <row r="553" spans="1:15" ht="45" x14ac:dyDescent="0.25">
      <c r="A553">
        <v>8898</v>
      </c>
      <c r="B553" s="24">
        <v>5</v>
      </c>
      <c r="C553" s="29" t="s">
        <v>476</v>
      </c>
      <c r="D553">
        <v>2017</v>
      </c>
      <c r="E553" s="24">
        <v>55</v>
      </c>
      <c r="F553" s="25">
        <v>47.85</v>
      </c>
      <c r="G553" s="24">
        <v>21</v>
      </c>
      <c r="H553" s="25">
        <v>0.1958</v>
      </c>
      <c r="I553" s="25">
        <v>36.768500000000003</v>
      </c>
      <c r="J553" s="47" t="s">
        <v>355</v>
      </c>
      <c r="K553" s="24">
        <v>4.4000000000000004</v>
      </c>
      <c r="L553" s="26"/>
      <c r="M553" s="26">
        <v>79</v>
      </c>
      <c r="N553" s="27" t="s">
        <v>13</v>
      </c>
      <c r="O553" s="28" t="s">
        <v>489</v>
      </c>
    </row>
    <row r="554" spans="1:15" ht="75" x14ac:dyDescent="0.25">
      <c r="A554">
        <v>8899</v>
      </c>
      <c r="B554" s="24">
        <v>5</v>
      </c>
      <c r="C554" s="29" t="s">
        <v>476</v>
      </c>
      <c r="D554">
        <v>2017</v>
      </c>
      <c r="E554" s="24">
        <v>19</v>
      </c>
      <c r="F554" s="25">
        <v>18.32</v>
      </c>
      <c r="G554" s="24">
        <v>0</v>
      </c>
      <c r="H554" s="25">
        <v>31.4544</v>
      </c>
      <c r="I554" s="25">
        <v>32.753399999999999</v>
      </c>
      <c r="J554" s="47" t="s">
        <v>355</v>
      </c>
      <c r="K554" s="24">
        <v>3.6</v>
      </c>
      <c r="L554" s="26">
        <v>2.9</v>
      </c>
      <c r="M554" s="26">
        <v>117</v>
      </c>
      <c r="N554" s="27" t="s">
        <v>72</v>
      </c>
      <c r="O554" s="28" t="s">
        <v>490</v>
      </c>
    </row>
    <row r="555" spans="1:15" ht="45" x14ac:dyDescent="0.25">
      <c r="A555">
        <v>8900</v>
      </c>
      <c r="B555" s="24">
        <v>6</v>
      </c>
      <c r="C555" s="29" t="s">
        <v>476</v>
      </c>
      <c r="D555">
        <v>2017</v>
      </c>
      <c r="E555" s="24">
        <v>19</v>
      </c>
      <c r="F555" s="40">
        <v>44.1</v>
      </c>
      <c r="G555" s="24">
        <v>23</v>
      </c>
      <c r="H555" s="25">
        <v>-14.8568</v>
      </c>
      <c r="I555" s="25">
        <v>19.140499999999999</v>
      </c>
      <c r="J555" s="47" t="s">
        <v>355</v>
      </c>
      <c r="K555" s="24">
        <v>4.0999999999999996</v>
      </c>
      <c r="L555" s="32">
        <v>4</v>
      </c>
      <c r="M555" s="26">
        <v>92</v>
      </c>
      <c r="N555" s="27" t="s">
        <v>63</v>
      </c>
      <c r="O555" s="28" t="s">
        <v>491</v>
      </c>
    </row>
    <row r="556" spans="1:15" ht="60" x14ac:dyDescent="0.25">
      <c r="A556">
        <v>8901</v>
      </c>
      <c r="B556" s="24">
        <v>7</v>
      </c>
      <c r="C556" s="29" t="s">
        <v>476</v>
      </c>
      <c r="D556">
        <v>2017</v>
      </c>
      <c r="E556" s="24">
        <v>57</v>
      </c>
      <c r="F556" s="25">
        <v>50.94</v>
      </c>
      <c r="G556" s="24">
        <v>10</v>
      </c>
      <c r="H556" s="25">
        <v>-25.951799999999999</v>
      </c>
      <c r="I556" s="25">
        <v>29.125299999999999</v>
      </c>
      <c r="J556" s="47" t="s">
        <v>355</v>
      </c>
      <c r="K556" s="24"/>
      <c r="L556" s="26">
        <v>2.7</v>
      </c>
      <c r="M556" s="26">
        <v>142</v>
      </c>
      <c r="N556" s="27" t="s">
        <v>6</v>
      </c>
      <c r="O556" s="28" t="s">
        <v>23</v>
      </c>
    </row>
    <row r="557" spans="1:15" ht="90" x14ac:dyDescent="0.25">
      <c r="A557">
        <v>8902</v>
      </c>
      <c r="B557" s="24">
        <v>9</v>
      </c>
      <c r="C557" s="29" t="s">
        <v>476</v>
      </c>
      <c r="D557">
        <v>2017</v>
      </c>
      <c r="E557" s="24">
        <v>3</v>
      </c>
      <c r="F557" s="25">
        <v>24.89</v>
      </c>
      <c r="G557" s="24">
        <v>5</v>
      </c>
      <c r="H557" s="25">
        <v>28.758700000000001</v>
      </c>
      <c r="I557" s="25">
        <v>27.860299999999999</v>
      </c>
      <c r="J557" s="47" t="s">
        <v>355</v>
      </c>
      <c r="K557" s="24">
        <v>3.7</v>
      </c>
      <c r="L557" s="26"/>
      <c r="M557" s="26">
        <v>177</v>
      </c>
      <c r="N557" s="27" t="s">
        <v>72</v>
      </c>
      <c r="O557" s="28" t="s">
        <v>431</v>
      </c>
    </row>
    <row r="558" spans="1:15" ht="75" x14ac:dyDescent="0.25">
      <c r="A558">
        <v>8903</v>
      </c>
      <c r="B558" s="24">
        <v>10</v>
      </c>
      <c r="C558" s="29" t="s">
        <v>476</v>
      </c>
      <c r="D558">
        <v>2017</v>
      </c>
      <c r="E558" s="24">
        <v>44</v>
      </c>
      <c r="F558" s="25">
        <v>57.92</v>
      </c>
      <c r="G558" s="24">
        <v>6</v>
      </c>
      <c r="H558" s="25">
        <v>33.590600000000002</v>
      </c>
      <c r="I558" s="25">
        <v>-5.9657999999999998</v>
      </c>
      <c r="J558" s="47" t="s">
        <v>355</v>
      </c>
      <c r="K558" s="24">
        <v>4.3</v>
      </c>
      <c r="L558" s="26"/>
      <c r="M558" s="26">
        <v>139</v>
      </c>
      <c r="N558" s="27" t="s">
        <v>28</v>
      </c>
      <c r="O558" s="28" t="s">
        <v>492</v>
      </c>
    </row>
    <row r="559" spans="1:15" ht="90" x14ac:dyDescent="0.25">
      <c r="A559">
        <v>8904</v>
      </c>
      <c r="B559" s="24">
        <v>10</v>
      </c>
      <c r="C559" s="29" t="s">
        <v>476</v>
      </c>
      <c r="D559">
        <v>2017</v>
      </c>
      <c r="E559" s="24">
        <v>35</v>
      </c>
      <c r="F559" s="25">
        <v>19.78</v>
      </c>
      <c r="G559" s="24">
        <v>13</v>
      </c>
      <c r="H559" s="25">
        <v>-30.410900000000002</v>
      </c>
      <c r="I559" s="25">
        <v>57.514699999999998</v>
      </c>
      <c r="J559" s="47" t="s">
        <v>355</v>
      </c>
      <c r="K559" s="24">
        <v>4.0999999999999996</v>
      </c>
      <c r="L559" s="26"/>
      <c r="M559" s="26">
        <v>22</v>
      </c>
      <c r="N559" s="27" t="s">
        <v>24</v>
      </c>
      <c r="O559" s="28" t="s">
        <v>493</v>
      </c>
    </row>
    <row r="560" spans="1:15" ht="60" x14ac:dyDescent="0.25">
      <c r="A560">
        <v>8905</v>
      </c>
      <c r="B560" s="24">
        <v>11</v>
      </c>
      <c r="C560" s="29" t="s">
        <v>476</v>
      </c>
      <c r="D560">
        <v>2017</v>
      </c>
      <c r="E560" s="24">
        <v>25</v>
      </c>
      <c r="F560" s="25">
        <v>35.24</v>
      </c>
      <c r="G560" s="24">
        <v>12</v>
      </c>
      <c r="H560" s="25">
        <v>-28.586300000000001</v>
      </c>
      <c r="I560" s="25">
        <v>25.311499999999999</v>
      </c>
      <c r="J560" s="47" t="s">
        <v>355</v>
      </c>
      <c r="K560" s="24">
        <v>4.2</v>
      </c>
      <c r="L560" s="26"/>
      <c r="M560" s="26">
        <v>29</v>
      </c>
      <c r="N560" s="27" t="s">
        <v>6</v>
      </c>
      <c r="O560" s="28" t="s">
        <v>68</v>
      </c>
    </row>
    <row r="561" spans="1:15" ht="60" x14ac:dyDescent="0.25">
      <c r="A561">
        <v>8906</v>
      </c>
      <c r="B561" s="24">
        <v>11</v>
      </c>
      <c r="C561" s="29" t="s">
        <v>476</v>
      </c>
      <c r="D561">
        <v>2017</v>
      </c>
      <c r="E561" s="24">
        <v>19</v>
      </c>
      <c r="F561" s="25">
        <v>46.71</v>
      </c>
      <c r="G561" s="24">
        <v>16</v>
      </c>
      <c r="H561" s="25">
        <v>-26.6724</v>
      </c>
      <c r="I561" s="25">
        <v>26.419899999999998</v>
      </c>
      <c r="J561" s="47" t="s">
        <v>355</v>
      </c>
      <c r="K561" s="24">
        <v>4.4000000000000004</v>
      </c>
      <c r="L561" s="26">
        <v>2.2999999999999998</v>
      </c>
      <c r="M561" s="26">
        <v>133</v>
      </c>
      <c r="N561" s="27" t="s">
        <v>6</v>
      </c>
      <c r="O561" s="28" t="s">
        <v>494</v>
      </c>
    </row>
    <row r="562" spans="1:15" ht="60" x14ac:dyDescent="0.25">
      <c r="A562">
        <v>8907</v>
      </c>
      <c r="B562" s="24">
        <v>11</v>
      </c>
      <c r="C562" s="29" t="s">
        <v>476</v>
      </c>
      <c r="D562">
        <v>2017</v>
      </c>
      <c r="E562" s="24">
        <v>27</v>
      </c>
      <c r="F562" s="25">
        <v>43.33</v>
      </c>
      <c r="G562" s="24">
        <v>17</v>
      </c>
      <c r="H562" s="25">
        <v>-25.944700000000001</v>
      </c>
      <c r="I562" s="25">
        <v>27.694299999999998</v>
      </c>
      <c r="J562" s="47" t="s">
        <v>355</v>
      </c>
      <c r="K562" s="24">
        <v>4.0999999999999996</v>
      </c>
      <c r="L562" s="26">
        <v>3.5</v>
      </c>
      <c r="M562" s="26">
        <v>121</v>
      </c>
      <c r="N562" s="27" t="s">
        <v>6</v>
      </c>
      <c r="O562" s="28" t="s">
        <v>495</v>
      </c>
    </row>
    <row r="563" spans="1:15" ht="45" x14ac:dyDescent="0.25">
      <c r="A563">
        <v>8908</v>
      </c>
      <c r="B563" s="24">
        <v>11</v>
      </c>
      <c r="C563" s="29" t="s">
        <v>476</v>
      </c>
      <c r="D563">
        <v>2017</v>
      </c>
      <c r="E563" s="24">
        <v>6</v>
      </c>
      <c r="F563" s="25">
        <v>57.92</v>
      </c>
      <c r="G563" s="24">
        <v>22</v>
      </c>
      <c r="H563" s="25">
        <v>-19.959499999999998</v>
      </c>
      <c r="I563" s="25">
        <v>46.819299999999998</v>
      </c>
      <c r="J563" s="47" t="s">
        <v>355</v>
      </c>
      <c r="K563" s="36">
        <v>5</v>
      </c>
      <c r="L563" s="26"/>
      <c r="M563" s="26">
        <v>47</v>
      </c>
      <c r="N563" s="27" t="s">
        <v>177</v>
      </c>
      <c r="O563" s="28" t="s">
        <v>496</v>
      </c>
    </row>
    <row r="564" spans="1:15" ht="45" x14ac:dyDescent="0.25">
      <c r="A564">
        <v>8909</v>
      </c>
      <c r="B564" s="8">
        <v>12</v>
      </c>
      <c r="C564" s="21" t="s">
        <v>476</v>
      </c>
      <c r="D564">
        <v>2017</v>
      </c>
      <c r="E564" s="8">
        <v>13</v>
      </c>
      <c r="F564" s="9">
        <v>34.590000000000003</v>
      </c>
      <c r="G564" s="8">
        <v>18</v>
      </c>
      <c r="H564" s="11">
        <v>13.4872</v>
      </c>
      <c r="I564" s="9">
        <v>1.1618999999999999</v>
      </c>
      <c r="J564" s="45" t="s">
        <v>1</v>
      </c>
      <c r="K564" s="8">
        <v>3.6</v>
      </c>
      <c r="L564" s="11"/>
      <c r="M564" s="11">
        <v>46</v>
      </c>
      <c r="N564" s="12" t="s">
        <v>15</v>
      </c>
      <c r="O564" s="13" t="s">
        <v>497</v>
      </c>
    </row>
    <row r="565" spans="1:15" ht="60" x14ac:dyDescent="0.25">
      <c r="A565">
        <v>8910</v>
      </c>
      <c r="B565" s="24">
        <v>13</v>
      </c>
      <c r="C565" s="29" t="s">
        <v>476</v>
      </c>
      <c r="D565">
        <v>2017</v>
      </c>
      <c r="E565" s="24">
        <v>54</v>
      </c>
      <c r="F565" s="25">
        <v>1.72</v>
      </c>
      <c r="G565" s="24">
        <v>16</v>
      </c>
      <c r="H565" s="26">
        <v>-27.8294</v>
      </c>
      <c r="I565" s="25">
        <v>27.5764</v>
      </c>
      <c r="J565" s="47" t="s">
        <v>1</v>
      </c>
      <c r="K565" s="24">
        <v>4.5</v>
      </c>
      <c r="L565" s="26"/>
      <c r="M565" s="26">
        <v>97</v>
      </c>
      <c r="N565" s="27" t="s">
        <v>6</v>
      </c>
      <c r="O565" s="28" t="s">
        <v>498</v>
      </c>
    </row>
    <row r="566" spans="1:15" ht="45" x14ac:dyDescent="0.25">
      <c r="A566">
        <v>8911</v>
      </c>
      <c r="B566" s="8">
        <v>13</v>
      </c>
      <c r="C566" s="21" t="s">
        <v>476</v>
      </c>
      <c r="D566">
        <v>2017</v>
      </c>
      <c r="E566" s="8">
        <v>37</v>
      </c>
      <c r="F566" s="9">
        <v>37.17</v>
      </c>
      <c r="G566" s="8">
        <v>21</v>
      </c>
      <c r="H566" s="11">
        <v>13.4032</v>
      </c>
      <c r="I566" s="9">
        <v>-0.16719999999999999</v>
      </c>
      <c r="J566" s="45" t="s">
        <v>1</v>
      </c>
      <c r="K566" s="8">
        <v>4.3</v>
      </c>
      <c r="L566" s="11"/>
      <c r="M566" s="11">
        <v>169</v>
      </c>
      <c r="N566" s="12" t="s">
        <v>15</v>
      </c>
      <c r="O566" s="13" t="s">
        <v>499</v>
      </c>
    </row>
    <row r="567" spans="1:15" ht="60" x14ac:dyDescent="0.25">
      <c r="A567">
        <v>8912</v>
      </c>
      <c r="B567" s="24">
        <v>16</v>
      </c>
      <c r="C567" s="29" t="s">
        <v>476</v>
      </c>
      <c r="D567">
        <v>2017</v>
      </c>
      <c r="E567" s="24">
        <v>35</v>
      </c>
      <c r="F567" s="25">
        <v>44.68</v>
      </c>
      <c r="G567" s="24">
        <v>1</v>
      </c>
      <c r="H567" s="26">
        <v>-28.603899999999999</v>
      </c>
      <c r="I567" s="25">
        <v>25.314499999999999</v>
      </c>
      <c r="J567" s="47" t="s">
        <v>500</v>
      </c>
      <c r="K567" s="24"/>
      <c r="L567" s="26"/>
      <c r="M567" s="26">
        <v>79</v>
      </c>
      <c r="N567" s="27" t="s">
        <v>6</v>
      </c>
      <c r="O567" s="28" t="s">
        <v>30</v>
      </c>
    </row>
    <row r="568" spans="1:15" ht="60" x14ac:dyDescent="0.25">
      <c r="A568">
        <v>8913</v>
      </c>
      <c r="B568" s="24">
        <v>16</v>
      </c>
      <c r="C568" s="29" t="s">
        <v>476</v>
      </c>
      <c r="D568">
        <v>2017</v>
      </c>
      <c r="E568" s="24">
        <v>12</v>
      </c>
      <c r="F568" s="25">
        <v>23.87</v>
      </c>
      <c r="G568" s="24">
        <v>10</v>
      </c>
      <c r="H568" s="26">
        <v>35.692500000000003</v>
      </c>
      <c r="I568" s="25">
        <v>11.0768</v>
      </c>
      <c r="J568" s="47" t="s">
        <v>1</v>
      </c>
      <c r="K568" s="24">
        <v>4</v>
      </c>
      <c r="L568" s="26"/>
      <c r="M568" s="26">
        <v>164</v>
      </c>
      <c r="N568" s="27" t="s">
        <v>2</v>
      </c>
      <c r="O568" s="28" t="s">
        <v>501</v>
      </c>
    </row>
    <row r="569" spans="1:15" ht="60" x14ac:dyDescent="0.25">
      <c r="A569">
        <v>8914</v>
      </c>
      <c r="B569" s="24">
        <v>16</v>
      </c>
      <c r="C569" s="29" t="s">
        <v>476</v>
      </c>
      <c r="D569">
        <v>2017</v>
      </c>
      <c r="E569" s="24">
        <v>28</v>
      </c>
      <c r="F569" s="25">
        <v>1.54</v>
      </c>
      <c r="G569" s="24">
        <v>19</v>
      </c>
      <c r="H569" s="26">
        <v>-23.745699999999999</v>
      </c>
      <c r="I569" s="25">
        <v>30.2925</v>
      </c>
      <c r="J569" s="47" t="s">
        <v>1</v>
      </c>
      <c r="K569" s="24">
        <v>4.2</v>
      </c>
      <c r="L569" s="26">
        <v>2.9</v>
      </c>
      <c r="M569" s="26">
        <v>108</v>
      </c>
      <c r="N569" s="27" t="s">
        <v>6</v>
      </c>
      <c r="O569" s="28" t="s">
        <v>502</v>
      </c>
    </row>
    <row r="570" spans="1:15" ht="45" x14ac:dyDescent="0.25">
      <c r="A570">
        <v>8915</v>
      </c>
      <c r="B570" s="8">
        <v>18</v>
      </c>
      <c r="C570" s="21" t="s">
        <v>476</v>
      </c>
      <c r="D570">
        <v>2017</v>
      </c>
      <c r="E570" s="8">
        <v>0</v>
      </c>
      <c r="F570" s="9">
        <v>36.71</v>
      </c>
      <c r="G570" s="8">
        <v>18</v>
      </c>
      <c r="H570" s="11">
        <v>6.3898000000000001</v>
      </c>
      <c r="I570" s="9">
        <v>-4.7784000000000004</v>
      </c>
      <c r="J570" s="45" t="s">
        <v>1</v>
      </c>
      <c r="K570" s="8">
        <v>4.2</v>
      </c>
      <c r="L570" s="11"/>
      <c r="M570" s="11">
        <v>162</v>
      </c>
      <c r="N570" s="12" t="s">
        <v>15</v>
      </c>
      <c r="O570" s="22" t="s">
        <v>503</v>
      </c>
    </row>
    <row r="571" spans="1:15" ht="45" x14ac:dyDescent="0.25">
      <c r="A571">
        <v>8916</v>
      </c>
      <c r="B571" s="8">
        <v>18</v>
      </c>
      <c r="C571" s="21" t="s">
        <v>476</v>
      </c>
      <c r="D571">
        <v>2017</v>
      </c>
      <c r="E571" s="8">
        <v>48</v>
      </c>
      <c r="F571" s="9">
        <v>20.89</v>
      </c>
      <c r="G571" s="8">
        <v>21</v>
      </c>
      <c r="H571" s="11">
        <v>19.455300000000001</v>
      </c>
      <c r="I571" s="9">
        <v>10.779299999999999</v>
      </c>
      <c r="J571" s="45" t="s">
        <v>1</v>
      </c>
      <c r="K571" s="8">
        <v>4.0999999999999996</v>
      </c>
      <c r="L571" s="11">
        <v>4.2</v>
      </c>
      <c r="M571" s="11">
        <v>149</v>
      </c>
      <c r="N571" s="12" t="s">
        <v>15</v>
      </c>
      <c r="O571" s="13" t="s">
        <v>504</v>
      </c>
    </row>
    <row r="572" spans="1:15" ht="45" x14ac:dyDescent="0.25">
      <c r="A572">
        <v>8917</v>
      </c>
      <c r="B572" s="24">
        <v>18</v>
      </c>
      <c r="C572" s="29" t="s">
        <v>476</v>
      </c>
      <c r="D572">
        <v>2017</v>
      </c>
      <c r="E572" s="24">
        <v>48</v>
      </c>
      <c r="F572" s="25">
        <v>46.81</v>
      </c>
      <c r="G572" s="24">
        <v>21</v>
      </c>
      <c r="H572" s="26">
        <v>20.232600000000001</v>
      </c>
      <c r="I572" s="25">
        <v>26.553699999999999</v>
      </c>
      <c r="J572" s="47" t="s">
        <v>1</v>
      </c>
      <c r="K572" s="24">
        <v>4.3</v>
      </c>
      <c r="L572" s="26"/>
      <c r="M572" s="26">
        <v>89</v>
      </c>
      <c r="N572" s="27" t="s">
        <v>117</v>
      </c>
      <c r="O572" s="13" t="s">
        <v>505</v>
      </c>
    </row>
    <row r="573" spans="1:15" ht="45" x14ac:dyDescent="0.25">
      <c r="A573">
        <v>8918</v>
      </c>
      <c r="B573" s="8">
        <v>19</v>
      </c>
      <c r="C573" s="21" t="s">
        <v>476</v>
      </c>
      <c r="D573">
        <v>2017</v>
      </c>
      <c r="E573" s="8">
        <v>41</v>
      </c>
      <c r="F573" s="9">
        <v>35.869999999999997</v>
      </c>
      <c r="G573" s="8">
        <v>5</v>
      </c>
      <c r="H573" s="11">
        <v>6.6105</v>
      </c>
      <c r="I573" s="9">
        <v>-6.3059000000000003</v>
      </c>
      <c r="J573" s="45" t="s">
        <v>1</v>
      </c>
      <c r="K573" s="8"/>
      <c r="L573" s="11">
        <v>3.4</v>
      </c>
      <c r="M573" s="11">
        <v>2</v>
      </c>
      <c r="N573" s="12" t="s">
        <v>15</v>
      </c>
      <c r="O573" s="13" t="s">
        <v>506</v>
      </c>
    </row>
    <row r="574" spans="1:15" ht="60" x14ac:dyDescent="0.25">
      <c r="A574">
        <v>8919</v>
      </c>
      <c r="B574" s="24">
        <v>19</v>
      </c>
      <c r="C574" s="29" t="s">
        <v>476</v>
      </c>
      <c r="D574">
        <v>2017</v>
      </c>
      <c r="E574" s="24">
        <v>30</v>
      </c>
      <c r="F574" s="25">
        <v>17.75</v>
      </c>
      <c r="G574" s="24">
        <v>19</v>
      </c>
      <c r="H574" s="26">
        <v>-29.818999999999999</v>
      </c>
      <c r="I574" s="25">
        <v>25.520600000000002</v>
      </c>
      <c r="J574" s="47" t="s">
        <v>1</v>
      </c>
      <c r="K574" s="24">
        <v>4.3</v>
      </c>
      <c r="L574" s="26"/>
      <c r="M574" s="26">
        <v>78</v>
      </c>
      <c r="N574" s="27" t="s">
        <v>6</v>
      </c>
      <c r="O574" s="28" t="s">
        <v>507</v>
      </c>
    </row>
    <row r="575" spans="1:15" ht="60" x14ac:dyDescent="0.25">
      <c r="A575">
        <v>8920</v>
      </c>
      <c r="B575" s="24">
        <v>21</v>
      </c>
      <c r="C575" s="29" t="s">
        <v>476</v>
      </c>
      <c r="D575">
        <v>2017</v>
      </c>
      <c r="E575" s="24">
        <v>54</v>
      </c>
      <c r="F575" s="25">
        <v>22.29</v>
      </c>
      <c r="G575" s="24">
        <v>16</v>
      </c>
      <c r="H575" s="26">
        <v>29.9878</v>
      </c>
      <c r="I575" s="25">
        <v>31.854199999999999</v>
      </c>
      <c r="J575" s="47" t="s">
        <v>1</v>
      </c>
      <c r="K575" s="24">
        <v>4</v>
      </c>
      <c r="L575" s="26">
        <v>3.2</v>
      </c>
      <c r="M575" s="26">
        <v>14</v>
      </c>
      <c r="N575" s="27" t="s">
        <v>72</v>
      </c>
      <c r="O575" s="28" t="s">
        <v>508</v>
      </c>
    </row>
    <row r="576" spans="1:15" ht="30" x14ac:dyDescent="0.25">
      <c r="A576">
        <v>8921</v>
      </c>
      <c r="B576" s="24">
        <v>22</v>
      </c>
      <c r="C576" s="29" t="s">
        <v>476</v>
      </c>
      <c r="D576">
        <v>2017</v>
      </c>
      <c r="E576" s="24">
        <v>37</v>
      </c>
      <c r="F576" s="25">
        <v>39.47</v>
      </c>
      <c r="G576" s="24">
        <v>0</v>
      </c>
      <c r="H576" s="26">
        <v>33.994999999999997</v>
      </c>
      <c r="I576" s="25">
        <v>8.0699000000000005</v>
      </c>
      <c r="J576" s="47" t="s">
        <v>1</v>
      </c>
      <c r="K576" s="24">
        <v>4.8</v>
      </c>
      <c r="L576" s="26">
        <v>4.2</v>
      </c>
      <c r="M576" s="26">
        <v>62</v>
      </c>
      <c r="N576" s="27" t="s">
        <v>2</v>
      </c>
      <c r="O576" s="28" t="s">
        <v>509</v>
      </c>
    </row>
    <row r="577" spans="1:15" ht="105" x14ac:dyDescent="0.25">
      <c r="A577">
        <v>8922</v>
      </c>
      <c r="B577" s="24">
        <v>22</v>
      </c>
      <c r="C577" s="29" t="s">
        <v>476</v>
      </c>
      <c r="D577">
        <v>2017</v>
      </c>
      <c r="E577" s="24">
        <v>35</v>
      </c>
      <c r="F577" s="25">
        <v>38.96</v>
      </c>
      <c r="G577" s="24">
        <v>6</v>
      </c>
      <c r="H577" s="26">
        <v>30.882100000000001</v>
      </c>
      <c r="I577" s="25">
        <v>31.520900000000001</v>
      </c>
      <c r="J577" s="47" t="s">
        <v>1</v>
      </c>
      <c r="K577" s="24">
        <v>3.8</v>
      </c>
      <c r="L577" s="26">
        <v>3.9</v>
      </c>
      <c r="M577" s="26">
        <v>115</v>
      </c>
      <c r="N577" s="27" t="s">
        <v>72</v>
      </c>
      <c r="O577" s="28" t="s">
        <v>510</v>
      </c>
    </row>
    <row r="578" spans="1:15" ht="60" x14ac:dyDescent="0.25">
      <c r="A578">
        <v>8923</v>
      </c>
      <c r="B578" s="24">
        <v>22</v>
      </c>
      <c r="C578" s="29" t="s">
        <v>476</v>
      </c>
      <c r="D578">
        <v>2017</v>
      </c>
      <c r="E578" s="24">
        <v>25</v>
      </c>
      <c r="F578" s="25">
        <v>55.79</v>
      </c>
      <c r="G578" s="24">
        <v>11</v>
      </c>
      <c r="H578" s="26">
        <v>31.819500000000001</v>
      </c>
      <c r="I578" s="25">
        <v>20.945699999999999</v>
      </c>
      <c r="J578" s="47" t="s">
        <v>1</v>
      </c>
      <c r="K578" s="24">
        <v>4.5</v>
      </c>
      <c r="L578" s="26">
        <v>3.6</v>
      </c>
      <c r="M578" s="26">
        <v>106</v>
      </c>
      <c r="N578" s="27" t="s">
        <v>135</v>
      </c>
      <c r="O578" s="28" t="s">
        <v>511</v>
      </c>
    </row>
    <row r="579" spans="1:15" ht="60" x14ac:dyDescent="0.25">
      <c r="A579">
        <v>8924</v>
      </c>
      <c r="B579" s="24">
        <v>22</v>
      </c>
      <c r="C579" s="29" t="s">
        <v>476</v>
      </c>
      <c r="D579">
        <v>2017</v>
      </c>
      <c r="E579" s="24">
        <v>42</v>
      </c>
      <c r="F579" s="25">
        <v>29.57</v>
      </c>
      <c r="G579" s="24">
        <v>18</v>
      </c>
      <c r="H579" s="26">
        <v>31.6022</v>
      </c>
      <c r="I579" s="25">
        <v>29.765699999999999</v>
      </c>
      <c r="J579" s="47" t="s">
        <v>1</v>
      </c>
      <c r="K579" s="24">
        <v>3.7</v>
      </c>
      <c r="L579" s="26">
        <v>3.2</v>
      </c>
      <c r="M579" s="26">
        <v>33</v>
      </c>
      <c r="N579" s="27" t="s">
        <v>72</v>
      </c>
      <c r="O579" s="28" t="s">
        <v>512</v>
      </c>
    </row>
    <row r="580" spans="1:15" ht="45" x14ac:dyDescent="0.25">
      <c r="A580">
        <v>8925</v>
      </c>
      <c r="B580" s="8">
        <v>22</v>
      </c>
      <c r="C580" s="21" t="s">
        <v>476</v>
      </c>
      <c r="D580">
        <v>2017</v>
      </c>
      <c r="E580" s="8">
        <v>16</v>
      </c>
      <c r="F580" s="9">
        <v>38.630000000000003</v>
      </c>
      <c r="G580" s="8">
        <v>21</v>
      </c>
      <c r="H580" s="11">
        <v>13.078799999999999</v>
      </c>
      <c r="I580" s="9">
        <v>-3.5529999999999999</v>
      </c>
      <c r="J580" s="45" t="s">
        <v>1</v>
      </c>
      <c r="K580" s="8">
        <v>4</v>
      </c>
      <c r="L580" s="11">
        <v>3.2</v>
      </c>
      <c r="M580" s="11">
        <v>106</v>
      </c>
      <c r="N580" s="12" t="s">
        <v>15</v>
      </c>
      <c r="O580" s="13" t="s">
        <v>513</v>
      </c>
    </row>
    <row r="581" spans="1:15" ht="45" x14ac:dyDescent="0.25">
      <c r="A581">
        <v>8926</v>
      </c>
      <c r="B581" s="8">
        <v>23</v>
      </c>
      <c r="C581" s="21" t="s">
        <v>476</v>
      </c>
      <c r="D581">
        <v>2017</v>
      </c>
      <c r="E581" s="8">
        <v>11</v>
      </c>
      <c r="F581" s="9">
        <v>28.6</v>
      </c>
      <c r="G581" s="8">
        <v>5</v>
      </c>
      <c r="H581" s="11">
        <v>6.9611999999999998</v>
      </c>
      <c r="I581" s="9">
        <v>-6.2450999999999999</v>
      </c>
      <c r="J581" s="45" t="s">
        <v>1</v>
      </c>
      <c r="K581" s="8">
        <v>4.0999999999999996</v>
      </c>
      <c r="L581" s="11"/>
      <c r="M581" s="11">
        <v>20</v>
      </c>
      <c r="N581" s="12" t="s">
        <v>15</v>
      </c>
      <c r="O581" s="13" t="s">
        <v>514</v>
      </c>
    </row>
    <row r="582" spans="1:15" ht="45" x14ac:dyDescent="0.25">
      <c r="A582">
        <v>8927</v>
      </c>
      <c r="B582" s="8">
        <v>23</v>
      </c>
      <c r="C582" s="21" t="s">
        <v>476</v>
      </c>
      <c r="D582">
        <v>2017</v>
      </c>
      <c r="E582" s="8">
        <v>37</v>
      </c>
      <c r="F582" s="9">
        <v>14.97</v>
      </c>
      <c r="G582" s="8">
        <v>12</v>
      </c>
      <c r="H582" s="11">
        <v>6.5589000000000004</v>
      </c>
      <c r="I582" s="9">
        <v>-4.8028000000000004</v>
      </c>
      <c r="J582" s="45" t="s">
        <v>1</v>
      </c>
      <c r="K582" s="8">
        <v>4.3</v>
      </c>
      <c r="L582" s="11"/>
      <c r="M582" s="11">
        <v>154</v>
      </c>
      <c r="N582" s="12" t="s">
        <v>15</v>
      </c>
      <c r="O582" s="13" t="s">
        <v>503</v>
      </c>
    </row>
    <row r="583" spans="1:15" ht="30" x14ac:dyDescent="0.25">
      <c r="A583">
        <v>8928</v>
      </c>
      <c r="B583" s="24">
        <v>24</v>
      </c>
      <c r="C583" s="29" t="s">
        <v>476</v>
      </c>
      <c r="D583">
        <v>2017</v>
      </c>
      <c r="E583" s="24">
        <v>29</v>
      </c>
      <c r="F583" s="25">
        <v>58.26</v>
      </c>
      <c r="G583" s="24">
        <v>5</v>
      </c>
      <c r="H583" s="26">
        <v>14.825699999999999</v>
      </c>
      <c r="I583" s="25">
        <v>26.805</v>
      </c>
      <c r="J583" s="47" t="s">
        <v>1</v>
      </c>
      <c r="K583" s="24">
        <v>4</v>
      </c>
      <c r="L583" s="26"/>
      <c r="M583" s="26">
        <v>57</v>
      </c>
      <c r="N583" s="27" t="s">
        <v>117</v>
      </c>
      <c r="O583" s="28" t="s">
        <v>515</v>
      </c>
    </row>
    <row r="584" spans="1:15" ht="60" x14ac:dyDescent="0.25">
      <c r="A584">
        <v>8929</v>
      </c>
      <c r="B584" s="24">
        <v>24</v>
      </c>
      <c r="C584" s="29" t="s">
        <v>476</v>
      </c>
      <c r="D584">
        <v>2017</v>
      </c>
      <c r="E584" s="24">
        <v>44</v>
      </c>
      <c r="F584" s="25">
        <v>8.6300000000000008</v>
      </c>
      <c r="G584" s="24">
        <v>9</v>
      </c>
      <c r="H584" s="26">
        <v>35.436900000000001</v>
      </c>
      <c r="I584" s="25">
        <v>7.5628000000000002</v>
      </c>
      <c r="J584" s="47" t="s">
        <v>1</v>
      </c>
      <c r="K584" s="24">
        <v>3.9</v>
      </c>
      <c r="L584" s="26"/>
      <c r="M584" s="26">
        <v>170</v>
      </c>
      <c r="N584" s="27" t="s">
        <v>10</v>
      </c>
      <c r="O584" s="28" t="s">
        <v>516</v>
      </c>
    </row>
    <row r="585" spans="1:15" ht="60" x14ac:dyDescent="0.25">
      <c r="A585">
        <v>8930</v>
      </c>
      <c r="B585" s="24">
        <v>24</v>
      </c>
      <c r="C585" s="29" t="s">
        <v>476</v>
      </c>
      <c r="D585">
        <v>2017</v>
      </c>
      <c r="E585" s="24">
        <v>8</v>
      </c>
      <c r="F585" s="25">
        <v>52.03</v>
      </c>
      <c r="G585" s="24">
        <v>10</v>
      </c>
      <c r="H585" s="26">
        <v>35.832299999999996</v>
      </c>
      <c r="I585" s="25">
        <v>11.0342</v>
      </c>
      <c r="J585" s="47" t="s">
        <v>1</v>
      </c>
      <c r="K585" s="24">
        <v>4</v>
      </c>
      <c r="L585" s="26"/>
      <c r="M585" s="26">
        <v>168</v>
      </c>
      <c r="N585" s="27" t="s">
        <v>2</v>
      </c>
      <c r="O585" s="28" t="s">
        <v>517</v>
      </c>
    </row>
    <row r="586" spans="1:15" ht="75" x14ac:dyDescent="0.25">
      <c r="A586">
        <v>8931</v>
      </c>
      <c r="B586" s="14">
        <v>24</v>
      </c>
      <c r="C586" s="30" t="s">
        <v>476</v>
      </c>
      <c r="D586">
        <v>2017</v>
      </c>
      <c r="E586" s="14">
        <v>16</v>
      </c>
      <c r="F586" s="15">
        <v>32.25</v>
      </c>
      <c r="G586" s="14">
        <v>21</v>
      </c>
      <c r="H586" s="17">
        <v>6.1818</v>
      </c>
      <c r="I586" s="15">
        <v>-2.7305999999999999</v>
      </c>
      <c r="J586" s="50" t="s">
        <v>1</v>
      </c>
      <c r="K586" s="14"/>
      <c r="L586" s="17">
        <v>1.4</v>
      </c>
      <c r="M586" s="17">
        <v>162</v>
      </c>
      <c r="N586" s="18" t="s">
        <v>15</v>
      </c>
      <c r="O586" s="19" t="s">
        <v>518</v>
      </c>
    </row>
    <row r="587" spans="1:15" ht="60" x14ac:dyDescent="0.25">
      <c r="A587">
        <v>8932</v>
      </c>
      <c r="B587" s="24">
        <v>25</v>
      </c>
      <c r="C587" s="29" t="s">
        <v>476</v>
      </c>
      <c r="D587">
        <v>2017</v>
      </c>
      <c r="E587" s="24">
        <v>8</v>
      </c>
      <c r="F587" s="25">
        <v>8.42</v>
      </c>
      <c r="G587" s="24">
        <v>11</v>
      </c>
      <c r="H587" s="26">
        <v>-25.055</v>
      </c>
      <c r="I587" s="25">
        <v>36.5503</v>
      </c>
      <c r="J587" s="47" t="s">
        <v>1</v>
      </c>
      <c r="K587" s="24">
        <v>3.7</v>
      </c>
      <c r="L587" s="26">
        <v>3.8</v>
      </c>
      <c r="M587" s="26">
        <v>170</v>
      </c>
      <c r="N587" s="27" t="s">
        <v>75</v>
      </c>
      <c r="O587" s="28" t="s">
        <v>284</v>
      </c>
    </row>
    <row r="588" spans="1:15" ht="60" x14ac:dyDescent="0.25">
      <c r="A588">
        <v>8933</v>
      </c>
      <c r="B588" s="24">
        <v>25</v>
      </c>
      <c r="C588" s="29" t="s">
        <v>476</v>
      </c>
      <c r="D588">
        <v>2017</v>
      </c>
      <c r="E588" s="24">
        <v>50</v>
      </c>
      <c r="F588" s="25">
        <v>1.61</v>
      </c>
      <c r="G588" s="24">
        <v>11</v>
      </c>
      <c r="H588" s="26">
        <v>-28.546700000000001</v>
      </c>
      <c r="I588" s="25">
        <v>25.033999999999999</v>
      </c>
      <c r="J588" s="47" t="s">
        <v>1</v>
      </c>
      <c r="K588" s="24"/>
      <c r="L588" s="26"/>
      <c r="M588" s="26">
        <v>109</v>
      </c>
      <c r="N588" s="27" t="s">
        <v>6</v>
      </c>
      <c r="O588" s="28" t="s">
        <v>68</v>
      </c>
    </row>
    <row r="589" spans="1:15" ht="60" x14ac:dyDescent="0.25">
      <c r="A589">
        <v>8934</v>
      </c>
      <c r="B589" s="24">
        <v>25</v>
      </c>
      <c r="C589" s="29" t="s">
        <v>476</v>
      </c>
      <c r="D589">
        <v>2017</v>
      </c>
      <c r="E589" s="24">
        <v>8</v>
      </c>
      <c r="F589" s="25">
        <v>9.27</v>
      </c>
      <c r="G589" s="24">
        <v>14</v>
      </c>
      <c r="H589" s="26">
        <v>-31.275400000000001</v>
      </c>
      <c r="I589" s="25">
        <v>26.537600000000001</v>
      </c>
      <c r="J589" s="47" t="s">
        <v>1</v>
      </c>
      <c r="K589" s="24">
        <v>4.3</v>
      </c>
      <c r="L589" s="26"/>
      <c r="M589" s="26">
        <v>65</v>
      </c>
      <c r="N589" s="27" t="s">
        <v>6</v>
      </c>
      <c r="O589" s="28" t="s">
        <v>519</v>
      </c>
    </row>
    <row r="590" spans="1:15" ht="45" x14ac:dyDescent="0.25">
      <c r="A590">
        <v>8935</v>
      </c>
      <c r="B590" s="8">
        <v>26</v>
      </c>
      <c r="C590" s="21" t="s">
        <v>476</v>
      </c>
      <c r="D590">
        <v>2017</v>
      </c>
      <c r="E590" s="8">
        <v>19</v>
      </c>
      <c r="F590" s="9">
        <v>50.59</v>
      </c>
      <c r="G590" s="8">
        <v>1</v>
      </c>
      <c r="H590" s="11">
        <v>5.8048000000000002</v>
      </c>
      <c r="I590" s="9">
        <v>-3.7726999999999999</v>
      </c>
      <c r="J590" s="45" t="s">
        <v>1</v>
      </c>
      <c r="K590" s="8">
        <v>3.9</v>
      </c>
      <c r="L590" s="11"/>
      <c r="M590" s="11">
        <v>173</v>
      </c>
      <c r="N590" s="12" t="s">
        <v>15</v>
      </c>
      <c r="O590" s="13" t="s">
        <v>520</v>
      </c>
    </row>
    <row r="591" spans="1:15" ht="45" x14ac:dyDescent="0.25">
      <c r="A591">
        <v>8936</v>
      </c>
      <c r="B591" s="8">
        <v>26</v>
      </c>
      <c r="C591" s="21" t="s">
        <v>476</v>
      </c>
      <c r="D591">
        <v>2017</v>
      </c>
      <c r="E591" s="8">
        <v>0</v>
      </c>
      <c r="F591" s="9">
        <v>59.02</v>
      </c>
      <c r="G591" s="8">
        <v>4</v>
      </c>
      <c r="H591" s="11">
        <v>13.6928</v>
      </c>
      <c r="I591" s="9">
        <v>1.0509999999999999</v>
      </c>
      <c r="J591" s="45" t="s">
        <v>1</v>
      </c>
      <c r="K591" s="8">
        <v>3.9</v>
      </c>
      <c r="L591" s="11"/>
      <c r="M591" s="11">
        <v>53</v>
      </c>
      <c r="N591" s="12" t="s">
        <v>15</v>
      </c>
      <c r="O591" s="13" t="s">
        <v>497</v>
      </c>
    </row>
    <row r="592" spans="1:15" ht="45" x14ac:dyDescent="0.25">
      <c r="A592">
        <v>8937</v>
      </c>
      <c r="B592" s="8">
        <v>26</v>
      </c>
      <c r="C592" s="21" t="s">
        <v>476</v>
      </c>
      <c r="D592">
        <v>2017</v>
      </c>
      <c r="E592" s="8">
        <v>1</v>
      </c>
      <c r="F592" s="9">
        <v>24.8</v>
      </c>
      <c r="G592" s="8">
        <v>18</v>
      </c>
      <c r="H592" s="11">
        <v>23.2456</v>
      </c>
      <c r="I592" s="9">
        <v>-11.992699999999999</v>
      </c>
      <c r="J592" s="45" t="s">
        <v>1</v>
      </c>
      <c r="K592" s="8">
        <v>3.8</v>
      </c>
      <c r="L592" s="11">
        <v>3.7</v>
      </c>
      <c r="M592" s="11">
        <v>83</v>
      </c>
      <c r="N592" s="12" t="s">
        <v>15</v>
      </c>
      <c r="O592" s="13" t="s">
        <v>172</v>
      </c>
    </row>
    <row r="593" spans="1:15" ht="60" x14ac:dyDescent="0.25">
      <c r="A593">
        <v>8938</v>
      </c>
      <c r="B593" s="8">
        <v>26</v>
      </c>
      <c r="C593" s="21" t="s">
        <v>476</v>
      </c>
      <c r="D593">
        <v>2017</v>
      </c>
      <c r="E593" s="8">
        <v>52</v>
      </c>
      <c r="F593" s="9">
        <v>58.13</v>
      </c>
      <c r="G593" s="8">
        <v>21</v>
      </c>
      <c r="H593" s="11">
        <v>7.1337000000000002</v>
      </c>
      <c r="I593" s="9">
        <v>-3.5465</v>
      </c>
      <c r="J593" s="45" t="s">
        <v>1</v>
      </c>
      <c r="K593" s="8">
        <v>3.7</v>
      </c>
      <c r="L593" s="11">
        <v>3.4</v>
      </c>
      <c r="M593" s="11">
        <v>143</v>
      </c>
      <c r="N593" s="12" t="s">
        <v>322</v>
      </c>
      <c r="O593" s="13" t="s">
        <v>521</v>
      </c>
    </row>
    <row r="594" spans="1:15" ht="135" x14ac:dyDescent="0.25">
      <c r="A594">
        <v>8939</v>
      </c>
      <c r="B594" s="24">
        <v>27</v>
      </c>
      <c r="C594" s="29" t="s">
        <v>476</v>
      </c>
      <c r="D594">
        <v>2017</v>
      </c>
      <c r="E594" s="24">
        <v>56</v>
      </c>
      <c r="F594" s="25">
        <v>36.630000000000003</v>
      </c>
      <c r="G594" s="24">
        <v>0</v>
      </c>
      <c r="H594" s="26">
        <v>-39.471699999999998</v>
      </c>
      <c r="I594" s="25">
        <v>25.276499999999999</v>
      </c>
      <c r="J594" s="47" t="s">
        <v>1</v>
      </c>
      <c r="K594" s="24"/>
      <c r="L594" s="26"/>
      <c r="M594" s="26">
        <v>56</v>
      </c>
      <c r="N594" s="27" t="s">
        <v>24</v>
      </c>
      <c r="O594" s="28" t="s">
        <v>522</v>
      </c>
    </row>
    <row r="595" spans="1:15" ht="60" x14ac:dyDescent="0.25">
      <c r="A595">
        <v>8940</v>
      </c>
      <c r="B595" s="8">
        <v>27</v>
      </c>
      <c r="C595" s="21" t="s">
        <v>476</v>
      </c>
      <c r="D595">
        <v>2017</v>
      </c>
      <c r="E595" s="8">
        <v>8</v>
      </c>
      <c r="F595" s="9">
        <v>10.74</v>
      </c>
      <c r="G595" s="8">
        <v>11</v>
      </c>
      <c r="H595" s="11">
        <v>22.681799999999999</v>
      </c>
      <c r="I595" s="9">
        <v>-7.7175000000000002</v>
      </c>
      <c r="J595" s="45" t="s">
        <v>1</v>
      </c>
      <c r="K595" s="8">
        <v>4.0999999999999996</v>
      </c>
      <c r="L595" s="11">
        <v>4.3</v>
      </c>
      <c r="M595" s="11">
        <v>123</v>
      </c>
      <c r="N595" s="12" t="s">
        <v>322</v>
      </c>
      <c r="O595" s="13" t="s">
        <v>481</v>
      </c>
    </row>
    <row r="596" spans="1:15" ht="60" x14ac:dyDescent="0.25">
      <c r="A596">
        <v>8941</v>
      </c>
      <c r="B596" s="8">
        <v>27</v>
      </c>
      <c r="C596" s="21" t="s">
        <v>476</v>
      </c>
      <c r="D596">
        <v>2017</v>
      </c>
      <c r="E596" s="8">
        <v>45</v>
      </c>
      <c r="F596" s="9">
        <v>47.51</v>
      </c>
      <c r="G596" s="8">
        <v>13</v>
      </c>
      <c r="H596" s="11">
        <v>4.2100999999999997</v>
      </c>
      <c r="I596" s="9">
        <v>-6.3343999999999996</v>
      </c>
      <c r="J596" s="45" t="s">
        <v>1</v>
      </c>
      <c r="K596" s="8">
        <v>4.3</v>
      </c>
      <c r="L596" s="11"/>
      <c r="M596" s="11">
        <v>128</v>
      </c>
      <c r="N596" s="12" t="s">
        <v>322</v>
      </c>
      <c r="O596" s="13" t="s">
        <v>262</v>
      </c>
    </row>
    <row r="597" spans="1:15" ht="45" x14ac:dyDescent="0.25">
      <c r="A597">
        <v>8942</v>
      </c>
      <c r="B597" s="24">
        <v>27</v>
      </c>
      <c r="C597" s="29" t="s">
        <v>476</v>
      </c>
      <c r="D597">
        <v>2017</v>
      </c>
      <c r="E597" s="24">
        <v>29</v>
      </c>
      <c r="F597" s="25">
        <v>22.72</v>
      </c>
      <c r="G597" s="24">
        <v>16</v>
      </c>
      <c r="H597" s="26">
        <v>7.6680000000000001</v>
      </c>
      <c r="I597" s="25">
        <v>38.783099999999997</v>
      </c>
      <c r="J597" s="47" t="s">
        <v>1</v>
      </c>
      <c r="K597" s="24">
        <v>4.5999999999999996</v>
      </c>
      <c r="L597" s="26"/>
      <c r="M597" s="26">
        <v>158</v>
      </c>
      <c r="N597" s="27" t="s">
        <v>523</v>
      </c>
      <c r="O597" s="28" t="s">
        <v>524</v>
      </c>
    </row>
    <row r="598" spans="1:15" ht="60" x14ac:dyDescent="0.25">
      <c r="A598">
        <v>8943</v>
      </c>
      <c r="B598" s="8">
        <v>28</v>
      </c>
      <c r="C598" s="21" t="s">
        <v>476</v>
      </c>
      <c r="D598">
        <v>2017</v>
      </c>
      <c r="E598" s="8">
        <v>7</v>
      </c>
      <c r="F598" s="9">
        <v>15.35</v>
      </c>
      <c r="G598" s="8">
        <v>3</v>
      </c>
      <c r="H598" s="11">
        <v>5.3337000000000003</v>
      </c>
      <c r="I598" s="9">
        <v>-5.3667999999999996</v>
      </c>
      <c r="J598" s="45" t="s">
        <v>1</v>
      </c>
      <c r="K598" s="8">
        <v>3.8</v>
      </c>
      <c r="L598" s="11"/>
      <c r="M598" s="11">
        <v>111</v>
      </c>
      <c r="N598" s="12" t="s">
        <v>15</v>
      </c>
      <c r="O598" s="13" t="s">
        <v>525</v>
      </c>
    </row>
    <row r="599" spans="1:15" ht="60" x14ac:dyDescent="0.25">
      <c r="A599">
        <v>8944</v>
      </c>
      <c r="B599" s="24">
        <v>28</v>
      </c>
      <c r="C599" s="29" t="s">
        <v>476</v>
      </c>
      <c r="D599">
        <v>2017</v>
      </c>
      <c r="E599" s="24">
        <v>34</v>
      </c>
      <c r="F599" s="25">
        <v>35.049999999999997</v>
      </c>
      <c r="G599" s="24">
        <v>14</v>
      </c>
      <c r="H599" s="26">
        <v>35.551499999999997</v>
      </c>
      <c r="I599" s="25">
        <v>11.9003</v>
      </c>
      <c r="J599" s="47" t="s">
        <v>1</v>
      </c>
      <c r="K599" s="24">
        <v>3.6</v>
      </c>
      <c r="L599" s="26">
        <v>2.8</v>
      </c>
      <c r="M599" s="26">
        <v>145</v>
      </c>
      <c r="N599" s="27" t="s">
        <v>2</v>
      </c>
      <c r="O599" s="28" t="s">
        <v>526</v>
      </c>
    </row>
    <row r="600" spans="1:15" ht="45" x14ac:dyDescent="0.25">
      <c r="A600">
        <v>8945</v>
      </c>
      <c r="B600" s="24">
        <v>29</v>
      </c>
      <c r="C600" s="29" t="s">
        <v>476</v>
      </c>
      <c r="D600">
        <v>2017</v>
      </c>
      <c r="E600" s="24">
        <v>55</v>
      </c>
      <c r="F600" s="25">
        <v>26.31</v>
      </c>
      <c r="G600" s="24">
        <v>8</v>
      </c>
      <c r="H600" s="26">
        <v>36.010800000000003</v>
      </c>
      <c r="I600" s="25">
        <v>4.5880000000000001</v>
      </c>
      <c r="J600" s="47" t="s">
        <v>1</v>
      </c>
      <c r="K600" s="24">
        <v>4.2</v>
      </c>
      <c r="L600" s="26">
        <v>3.4</v>
      </c>
      <c r="M600" s="26">
        <v>121</v>
      </c>
      <c r="N600" s="27" t="s">
        <v>10</v>
      </c>
      <c r="O600" s="28" t="s">
        <v>527</v>
      </c>
    </row>
    <row r="601" spans="1:15" ht="60" x14ac:dyDescent="0.25">
      <c r="A601">
        <v>8946</v>
      </c>
      <c r="B601" s="24">
        <v>29</v>
      </c>
      <c r="C601" s="29" t="s">
        <v>476</v>
      </c>
      <c r="D601">
        <v>2017</v>
      </c>
      <c r="E601" s="24">
        <v>55</v>
      </c>
      <c r="F601" s="25">
        <v>43.88</v>
      </c>
      <c r="G601" s="24">
        <v>8</v>
      </c>
      <c r="H601" s="26">
        <v>36.331499999999998</v>
      </c>
      <c r="I601" s="25">
        <v>5.0411999999999999</v>
      </c>
      <c r="J601" s="47" t="s">
        <v>1</v>
      </c>
      <c r="K601" s="24">
        <v>3.8</v>
      </c>
      <c r="L601" s="26">
        <v>3.7</v>
      </c>
      <c r="M601" s="26">
        <v>85</v>
      </c>
      <c r="N601" s="27" t="s">
        <v>10</v>
      </c>
      <c r="O601" s="28" t="s">
        <v>528</v>
      </c>
    </row>
    <row r="602" spans="1:15" ht="90" x14ac:dyDescent="0.25">
      <c r="A602">
        <v>8947</v>
      </c>
      <c r="B602" s="24">
        <v>29</v>
      </c>
      <c r="C602" s="29" t="s">
        <v>476</v>
      </c>
      <c r="D602">
        <v>2017</v>
      </c>
      <c r="E602" s="24">
        <v>23</v>
      </c>
      <c r="F602" s="25">
        <v>47.34</v>
      </c>
      <c r="G602" s="24">
        <v>13</v>
      </c>
      <c r="H602" s="26">
        <v>-38.819200000000002</v>
      </c>
      <c r="I602" s="25">
        <v>32.542700000000004</v>
      </c>
      <c r="J602" s="47" t="s">
        <v>1</v>
      </c>
      <c r="K602" s="24">
        <v>4.2</v>
      </c>
      <c r="L602" s="26"/>
      <c r="M602" s="26">
        <v>25</v>
      </c>
      <c r="N602" s="27" t="s">
        <v>24</v>
      </c>
      <c r="O602" s="28" t="s">
        <v>529</v>
      </c>
    </row>
    <row r="603" spans="1:15" ht="60" x14ac:dyDescent="0.25">
      <c r="A603">
        <v>8948</v>
      </c>
      <c r="B603" s="24">
        <v>29</v>
      </c>
      <c r="C603" s="29" t="s">
        <v>476</v>
      </c>
      <c r="D603">
        <v>2017</v>
      </c>
      <c r="E603" s="24">
        <v>15</v>
      </c>
      <c r="F603" s="25">
        <v>57.33</v>
      </c>
      <c r="G603" s="24">
        <v>15</v>
      </c>
      <c r="H603" s="26">
        <v>-28.634899999999998</v>
      </c>
      <c r="I603" s="25">
        <v>25.241199999999999</v>
      </c>
      <c r="J603" s="47" t="s">
        <v>1</v>
      </c>
      <c r="K603" s="24">
        <v>4.0999999999999996</v>
      </c>
      <c r="L603" s="26"/>
      <c r="M603" s="26">
        <v>31</v>
      </c>
      <c r="N603" s="27" t="s">
        <v>6</v>
      </c>
      <c r="O603" s="28" t="s">
        <v>68</v>
      </c>
    </row>
    <row r="604" spans="1:15" ht="60" x14ac:dyDescent="0.25">
      <c r="A604">
        <v>8949</v>
      </c>
      <c r="B604" s="24">
        <v>30</v>
      </c>
      <c r="C604" s="29" t="s">
        <v>476</v>
      </c>
      <c r="D604">
        <v>2017</v>
      </c>
      <c r="E604" s="24">
        <v>37</v>
      </c>
      <c r="F604" s="25">
        <v>49.98</v>
      </c>
      <c r="G604" s="24">
        <v>5</v>
      </c>
      <c r="H604" s="26">
        <v>23.3993</v>
      </c>
      <c r="I604" s="25">
        <v>-1.4782</v>
      </c>
      <c r="J604" s="47" t="s">
        <v>1</v>
      </c>
      <c r="K604" s="24">
        <v>4.3</v>
      </c>
      <c r="L604" s="26"/>
      <c r="M604" s="26">
        <v>22</v>
      </c>
      <c r="N604" s="27" t="s">
        <v>110</v>
      </c>
      <c r="O604" s="28" t="s">
        <v>530</v>
      </c>
    </row>
    <row r="605" spans="1:15" ht="60" x14ac:dyDescent="0.25">
      <c r="A605">
        <v>8950</v>
      </c>
      <c r="B605" s="8">
        <v>30</v>
      </c>
      <c r="C605" s="21" t="s">
        <v>476</v>
      </c>
      <c r="D605">
        <v>2017</v>
      </c>
      <c r="E605" s="8">
        <v>26</v>
      </c>
      <c r="F605" s="9">
        <v>38.36</v>
      </c>
      <c r="G605" s="8">
        <v>19</v>
      </c>
      <c r="H605" s="11">
        <v>6.6593999999999998</v>
      </c>
      <c r="I605" s="9">
        <v>-4.8541999999999996</v>
      </c>
      <c r="J605" s="45" t="s">
        <v>1</v>
      </c>
      <c r="K605" s="8">
        <v>3.9</v>
      </c>
      <c r="L605" s="11"/>
      <c r="M605" s="11">
        <v>169</v>
      </c>
      <c r="N605" s="12" t="s">
        <v>322</v>
      </c>
      <c r="O605" s="13" t="s">
        <v>531</v>
      </c>
    </row>
    <row r="606" spans="1:15" ht="75" x14ac:dyDescent="0.25">
      <c r="A606">
        <v>8951</v>
      </c>
      <c r="B606" s="8">
        <v>31</v>
      </c>
      <c r="C606" s="21" t="s">
        <v>476</v>
      </c>
      <c r="D606">
        <v>2017</v>
      </c>
      <c r="E606" s="8">
        <v>32</v>
      </c>
      <c r="F606" s="9">
        <v>50.7</v>
      </c>
      <c r="G606" s="8">
        <v>2</v>
      </c>
      <c r="H606" s="11">
        <v>23.359000000000002</v>
      </c>
      <c r="I606" s="9">
        <v>-17.096800000000002</v>
      </c>
      <c r="J606" s="45" t="s">
        <v>1</v>
      </c>
      <c r="K606" s="8">
        <v>3.5</v>
      </c>
      <c r="L606" s="11"/>
      <c r="M606" s="11">
        <v>4</v>
      </c>
      <c r="N606" s="12" t="s">
        <v>15</v>
      </c>
      <c r="O606" s="13" t="s">
        <v>532</v>
      </c>
    </row>
    <row r="607" spans="1:15" ht="75" x14ac:dyDescent="0.25">
      <c r="A607">
        <v>8952</v>
      </c>
      <c r="B607" s="8">
        <v>31</v>
      </c>
      <c r="C607" s="21" t="s">
        <v>476</v>
      </c>
      <c r="D607">
        <v>2017</v>
      </c>
      <c r="E607" s="8">
        <v>26</v>
      </c>
      <c r="F607" s="9">
        <v>31.17</v>
      </c>
      <c r="G607" s="8">
        <v>9</v>
      </c>
      <c r="H607" s="11">
        <v>10.5549</v>
      </c>
      <c r="I607" s="9">
        <v>-9.9603000000000002</v>
      </c>
      <c r="J607" s="45" t="s">
        <v>1</v>
      </c>
      <c r="K607" s="8">
        <v>4</v>
      </c>
      <c r="L607" s="11">
        <v>2.5</v>
      </c>
      <c r="M607" s="11">
        <v>34</v>
      </c>
      <c r="N607" s="12" t="s">
        <v>15</v>
      </c>
      <c r="O607" s="13" t="s">
        <v>533</v>
      </c>
    </row>
    <row r="608" spans="1:15" ht="75" x14ac:dyDescent="0.25">
      <c r="A608">
        <v>8953</v>
      </c>
      <c r="B608" s="24">
        <v>31</v>
      </c>
      <c r="C608" s="29" t="s">
        <v>476</v>
      </c>
      <c r="D608">
        <v>2017</v>
      </c>
      <c r="E608" s="24">
        <v>15</v>
      </c>
      <c r="F608" s="25">
        <v>15.89</v>
      </c>
      <c r="G608" s="24">
        <v>11</v>
      </c>
      <c r="H608" s="26">
        <v>-25.9437</v>
      </c>
      <c r="I608" s="25">
        <v>31.708600000000001</v>
      </c>
      <c r="J608" s="47" t="s">
        <v>1</v>
      </c>
      <c r="K608" s="24">
        <v>4.2</v>
      </c>
      <c r="L608" s="26">
        <v>3</v>
      </c>
      <c r="M608" s="26">
        <v>153</v>
      </c>
      <c r="N608" s="27" t="s">
        <v>6</v>
      </c>
      <c r="O608" s="28" t="s">
        <v>534</v>
      </c>
    </row>
    <row r="609" spans="1:15" ht="60" x14ac:dyDescent="0.25">
      <c r="A609">
        <v>8954</v>
      </c>
      <c r="B609" s="24">
        <v>31</v>
      </c>
      <c r="C609" s="29" t="s">
        <v>476</v>
      </c>
      <c r="D609">
        <v>2017</v>
      </c>
      <c r="E609" s="24">
        <v>12</v>
      </c>
      <c r="F609" s="25">
        <v>43.08</v>
      </c>
      <c r="G609" s="24">
        <v>12</v>
      </c>
      <c r="H609" s="26">
        <v>-28.624099999999999</v>
      </c>
      <c r="I609" s="25">
        <v>25.265000000000001</v>
      </c>
      <c r="J609" s="47" t="s">
        <v>1</v>
      </c>
      <c r="K609" s="24">
        <v>4.2</v>
      </c>
      <c r="L609" s="26"/>
      <c r="M609" s="26">
        <v>140</v>
      </c>
      <c r="N609" s="27" t="s">
        <v>6</v>
      </c>
      <c r="O609" s="28" t="s">
        <v>68</v>
      </c>
    </row>
    <row r="610" spans="1:15" ht="30" x14ac:dyDescent="0.25">
      <c r="A610">
        <v>8955</v>
      </c>
      <c r="B610" s="24">
        <v>1</v>
      </c>
      <c r="C610" s="29" t="s">
        <v>535</v>
      </c>
      <c r="D610">
        <v>2017</v>
      </c>
      <c r="E610" s="24">
        <v>50</v>
      </c>
      <c r="F610" s="25">
        <v>18.34</v>
      </c>
      <c r="G610" s="24">
        <v>19</v>
      </c>
      <c r="H610" s="26">
        <v>34.726999999999997</v>
      </c>
      <c r="I610" s="25">
        <v>10.5098</v>
      </c>
      <c r="J610" s="47" t="s">
        <v>1</v>
      </c>
      <c r="K610" s="24">
        <v>3.7</v>
      </c>
      <c r="L610" s="26"/>
      <c r="M610" s="26">
        <v>17</v>
      </c>
      <c r="N610" s="27" t="s">
        <v>2</v>
      </c>
      <c r="O610" s="28" t="s">
        <v>536</v>
      </c>
    </row>
    <row r="611" spans="1:15" ht="45" x14ac:dyDescent="0.25">
      <c r="A611">
        <v>8956</v>
      </c>
      <c r="B611" s="8">
        <v>2</v>
      </c>
      <c r="C611" s="21" t="s">
        <v>535</v>
      </c>
      <c r="D611">
        <v>2017</v>
      </c>
      <c r="E611" s="8">
        <v>3</v>
      </c>
      <c r="F611" s="9">
        <v>54.17</v>
      </c>
      <c r="G611" s="8">
        <v>12</v>
      </c>
      <c r="H611" s="11">
        <v>13.0511</v>
      </c>
      <c r="I611" s="9">
        <v>1.5982000000000001</v>
      </c>
      <c r="J611" s="45" t="s">
        <v>1</v>
      </c>
      <c r="K611" s="8">
        <v>4.0999999999999996</v>
      </c>
      <c r="L611" s="11"/>
      <c r="M611" s="11">
        <v>44</v>
      </c>
      <c r="N611" s="12" t="s">
        <v>15</v>
      </c>
      <c r="O611" s="13" t="s">
        <v>50</v>
      </c>
    </row>
    <row r="612" spans="1:15" ht="75" x14ac:dyDescent="0.25">
      <c r="A612">
        <v>8957</v>
      </c>
      <c r="B612" s="24">
        <v>2</v>
      </c>
      <c r="C612" s="29" t="s">
        <v>535</v>
      </c>
      <c r="D612">
        <v>2017</v>
      </c>
      <c r="E612" s="24">
        <v>25</v>
      </c>
      <c r="F612" s="25">
        <v>12.56</v>
      </c>
      <c r="G612" s="24">
        <v>14</v>
      </c>
      <c r="H612" s="26">
        <v>-27.753</v>
      </c>
      <c r="I612" s="25">
        <v>30.135100000000001</v>
      </c>
      <c r="J612" s="47" t="s">
        <v>1</v>
      </c>
      <c r="K612" s="24"/>
      <c r="L612" s="26">
        <v>2.9</v>
      </c>
      <c r="M612" s="26">
        <v>166</v>
      </c>
      <c r="N612" s="27" t="s">
        <v>6</v>
      </c>
      <c r="O612" s="28" t="s">
        <v>537</v>
      </c>
    </row>
    <row r="613" spans="1:15" ht="90" x14ac:dyDescent="0.25">
      <c r="A613">
        <v>8958</v>
      </c>
      <c r="B613" s="24">
        <v>2</v>
      </c>
      <c r="C613" s="29" t="s">
        <v>535</v>
      </c>
      <c r="D613">
        <v>2017</v>
      </c>
      <c r="E613" s="24">
        <v>31</v>
      </c>
      <c r="F613" s="25">
        <v>53.08</v>
      </c>
      <c r="G613" s="24">
        <v>22</v>
      </c>
      <c r="H613" s="26">
        <v>-21.387599999999999</v>
      </c>
      <c r="I613" s="25">
        <v>56.560400000000001</v>
      </c>
      <c r="J613" s="47" t="s">
        <v>1</v>
      </c>
      <c r="K613" s="24">
        <v>3.8</v>
      </c>
      <c r="L613" s="26"/>
      <c r="M613" s="26">
        <v>9</v>
      </c>
      <c r="N613" s="27" t="s">
        <v>538</v>
      </c>
      <c r="O613" s="28" t="s">
        <v>539</v>
      </c>
    </row>
    <row r="614" spans="1:15" ht="45" x14ac:dyDescent="0.25">
      <c r="A614">
        <v>8959</v>
      </c>
      <c r="B614" s="24">
        <v>3</v>
      </c>
      <c r="C614" s="29" t="s">
        <v>535</v>
      </c>
      <c r="D614">
        <v>2017</v>
      </c>
      <c r="E614" s="24">
        <v>19</v>
      </c>
      <c r="F614" s="25">
        <v>33.86</v>
      </c>
      <c r="G614" s="24">
        <v>11</v>
      </c>
      <c r="H614" s="26">
        <v>-28.458300000000001</v>
      </c>
      <c r="I614" s="25">
        <v>18.712700000000002</v>
      </c>
      <c r="J614" s="47" t="s">
        <v>1</v>
      </c>
      <c r="K614" s="24">
        <v>4</v>
      </c>
      <c r="L614" s="26">
        <v>3.4</v>
      </c>
      <c r="M614" s="26">
        <v>170</v>
      </c>
      <c r="N614" s="27" t="s">
        <v>291</v>
      </c>
      <c r="O614" s="28" t="s">
        <v>292</v>
      </c>
    </row>
    <row r="615" spans="1:15" ht="60" x14ac:dyDescent="0.25">
      <c r="A615">
        <v>8960</v>
      </c>
      <c r="B615" s="8">
        <v>4</v>
      </c>
      <c r="C615" s="21" t="s">
        <v>535</v>
      </c>
      <c r="D615">
        <v>2017</v>
      </c>
      <c r="E615" s="8">
        <v>1</v>
      </c>
      <c r="F615" s="9">
        <v>17.45</v>
      </c>
      <c r="G615" s="8">
        <v>12</v>
      </c>
      <c r="H615" s="11">
        <v>19.415099999999999</v>
      </c>
      <c r="I615" s="9">
        <v>-11.6736</v>
      </c>
      <c r="J615" s="45" t="s">
        <v>1</v>
      </c>
      <c r="K615" s="8"/>
      <c r="L615" s="11">
        <v>3.3</v>
      </c>
      <c r="M615" s="11">
        <v>31</v>
      </c>
      <c r="N615" s="12" t="s">
        <v>322</v>
      </c>
      <c r="O615" s="13" t="s">
        <v>481</v>
      </c>
    </row>
    <row r="616" spans="1:15" ht="60" x14ac:dyDescent="0.25">
      <c r="A616">
        <v>8961</v>
      </c>
      <c r="B616" s="8">
        <v>4</v>
      </c>
      <c r="C616" s="21" t="s">
        <v>535</v>
      </c>
      <c r="D616">
        <v>2017</v>
      </c>
      <c r="E616" s="8">
        <v>6</v>
      </c>
      <c r="F616" s="9">
        <v>10.66</v>
      </c>
      <c r="G616" s="8">
        <v>19</v>
      </c>
      <c r="H616" s="11">
        <v>17.4696</v>
      </c>
      <c r="I616" s="9">
        <v>-12.270099999999999</v>
      </c>
      <c r="J616" s="45" t="s">
        <v>1</v>
      </c>
      <c r="K616" s="8">
        <v>4</v>
      </c>
      <c r="L616" s="11">
        <v>2.7</v>
      </c>
      <c r="M616" s="11">
        <v>160</v>
      </c>
      <c r="N616" s="12" t="s">
        <v>15</v>
      </c>
      <c r="O616" s="13" t="s">
        <v>540</v>
      </c>
    </row>
    <row r="617" spans="1:15" ht="60" x14ac:dyDescent="0.25">
      <c r="A617">
        <v>8962</v>
      </c>
      <c r="B617" s="8">
        <v>4</v>
      </c>
      <c r="C617" s="21" t="s">
        <v>535</v>
      </c>
      <c r="D617">
        <v>2017</v>
      </c>
      <c r="E617" s="8">
        <v>6</v>
      </c>
      <c r="F617" s="9">
        <v>23.62</v>
      </c>
      <c r="G617" s="8">
        <v>20</v>
      </c>
      <c r="H617" s="11">
        <v>7.9409000000000001</v>
      </c>
      <c r="I617" s="9">
        <v>-12.9741</v>
      </c>
      <c r="J617" s="45" t="s">
        <v>1</v>
      </c>
      <c r="K617" s="8">
        <v>4</v>
      </c>
      <c r="L617" s="11">
        <v>2.6</v>
      </c>
      <c r="M617" s="11">
        <v>134</v>
      </c>
      <c r="N617" s="12" t="s">
        <v>322</v>
      </c>
      <c r="O617" s="13" t="s">
        <v>541</v>
      </c>
    </row>
    <row r="618" spans="1:15" ht="90" x14ac:dyDescent="0.25">
      <c r="A618">
        <v>8963</v>
      </c>
      <c r="B618" s="8">
        <v>5</v>
      </c>
      <c r="C618" s="21" t="s">
        <v>535</v>
      </c>
      <c r="D618">
        <v>2017</v>
      </c>
      <c r="E618" s="8">
        <v>35</v>
      </c>
      <c r="F618" s="9">
        <v>41.13</v>
      </c>
      <c r="G618" s="8">
        <v>7</v>
      </c>
      <c r="H618" s="11">
        <v>5.0038999999999998</v>
      </c>
      <c r="I618" s="9">
        <v>4.8353000000000002</v>
      </c>
      <c r="J618" s="45" t="s">
        <v>1</v>
      </c>
      <c r="K618" s="8">
        <v>4</v>
      </c>
      <c r="L618" s="11">
        <v>2.8</v>
      </c>
      <c r="M618" s="11">
        <v>67</v>
      </c>
      <c r="N618" s="12" t="s">
        <v>322</v>
      </c>
      <c r="O618" s="13" t="s">
        <v>542</v>
      </c>
    </row>
    <row r="619" spans="1:15" ht="45" x14ac:dyDescent="0.25">
      <c r="A619">
        <v>8964</v>
      </c>
      <c r="B619" s="24">
        <v>5</v>
      </c>
      <c r="C619" s="29" t="s">
        <v>535</v>
      </c>
      <c r="D619">
        <v>2017</v>
      </c>
      <c r="E619" s="24">
        <v>54</v>
      </c>
      <c r="F619" s="25">
        <v>41.12</v>
      </c>
      <c r="G619" s="24">
        <v>9</v>
      </c>
      <c r="H619" s="26">
        <v>-4.6525999999999996</v>
      </c>
      <c r="I619" s="25">
        <v>39.529899999999998</v>
      </c>
      <c r="J619" s="47" t="s">
        <v>1</v>
      </c>
      <c r="K619" s="24">
        <v>4.0999999999999996</v>
      </c>
      <c r="L619" s="26"/>
      <c r="M619" s="26">
        <v>126</v>
      </c>
      <c r="N619" s="27" t="s">
        <v>13</v>
      </c>
      <c r="O619" s="28" t="s">
        <v>543</v>
      </c>
    </row>
    <row r="620" spans="1:15" ht="45" x14ac:dyDescent="0.25">
      <c r="A620">
        <v>8965</v>
      </c>
      <c r="B620" s="8">
        <v>5</v>
      </c>
      <c r="C620" s="21" t="s">
        <v>535</v>
      </c>
      <c r="D620">
        <v>2017</v>
      </c>
      <c r="E620" s="8">
        <v>0</v>
      </c>
      <c r="F620" s="9">
        <v>49.72</v>
      </c>
      <c r="G620" s="8">
        <v>12</v>
      </c>
      <c r="H620" s="11">
        <v>13.400700000000001</v>
      </c>
      <c r="I620" s="9">
        <v>1.2687999999999999</v>
      </c>
      <c r="J620" s="45" t="s">
        <v>1</v>
      </c>
      <c r="K620" s="8">
        <v>4.4000000000000004</v>
      </c>
      <c r="L620" s="11"/>
      <c r="M620" s="11">
        <v>126</v>
      </c>
      <c r="N620" s="12" t="s">
        <v>15</v>
      </c>
      <c r="O620" s="13" t="s">
        <v>497</v>
      </c>
    </row>
    <row r="621" spans="1:15" ht="60" x14ac:dyDescent="0.25">
      <c r="A621">
        <v>8966</v>
      </c>
      <c r="B621" s="24">
        <v>5</v>
      </c>
      <c r="C621" s="29" t="s">
        <v>535</v>
      </c>
      <c r="D621">
        <v>2017</v>
      </c>
      <c r="E621" s="24">
        <v>53</v>
      </c>
      <c r="F621" s="25">
        <v>11.62</v>
      </c>
      <c r="G621" s="24">
        <v>21</v>
      </c>
      <c r="H621" s="26">
        <v>-28.4983</v>
      </c>
      <c r="I621" s="25">
        <v>25.626100000000001</v>
      </c>
      <c r="J621" s="47" t="s">
        <v>1</v>
      </c>
      <c r="K621" s="24">
        <v>3.9</v>
      </c>
      <c r="L621" s="26"/>
      <c r="M621" s="26">
        <v>70</v>
      </c>
      <c r="N621" s="27" t="s">
        <v>6</v>
      </c>
      <c r="O621" s="28" t="s">
        <v>68</v>
      </c>
    </row>
    <row r="622" spans="1:15" ht="60" x14ac:dyDescent="0.25">
      <c r="A622">
        <v>8967</v>
      </c>
      <c r="B622" s="24">
        <v>6</v>
      </c>
      <c r="C622" s="29" t="s">
        <v>535</v>
      </c>
      <c r="D622">
        <v>2017</v>
      </c>
      <c r="E622" s="24">
        <v>46</v>
      </c>
      <c r="F622" s="25">
        <v>49.66</v>
      </c>
      <c r="G622" s="24">
        <v>4</v>
      </c>
      <c r="H622" s="26">
        <v>34.371699999999997</v>
      </c>
      <c r="I622" s="25">
        <v>11.372999999999999</v>
      </c>
      <c r="J622" s="47" t="s">
        <v>1</v>
      </c>
      <c r="K622" s="24">
        <v>3.6</v>
      </c>
      <c r="L622" s="26">
        <v>3.5</v>
      </c>
      <c r="M622" s="26">
        <v>177</v>
      </c>
      <c r="N622" s="27" t="s">
        <v>2</v>
      </c>
      <c r="O622" s="28" t="s">
        <v>544</v>
      </c>
    </row>
    <row r="623" spans="1:15" ht="30" x14ac:dyDescent="0.25">
      <c r="A623">
        <v>8968</v>
      </c>
      <c r="B623" s="24">
        <v>6</v>
      </c>
      <c r="C623" s="29" t="s">
        <v>535</v>
      </c>
      <c r="D623">
        <v>2017</v>
      </c>
      <c r="E623" s="24">
        <v>56</v>
      </c>
      <c r="F623" s="25">
        <v>28.52</v>
      </c>
      <c r="G623" s="24">
        <v>10</v>
      </c>
      <c r="H623" s="26">
        <v>28.985199999999999</v>
      </c>
      <c r="I623" s="25">
        <v>19.923999999999999</v>
      </c>
      <c r="J623" s="47" t="s">
        <v>1</v>
      </c>
      <c r="K623" s="24">
        <v>4.3</v>
      </c>
      <c r="L623" s="26"/>
      <c r="M623" s="26">
        <v>62</v>
      </c>
      <c r="N623" s="27" t="s">
        <v>204</v>
      </c>
      <c r="O623" s="28" t="s">
        <v>338</v>
      </c>
    </row>
    <row r="624" spans="1:15" ht="60" x14ac:dyDescent="0.25">
      <c r="A624">
        <v>8969</v>
      </c>
      <c r="B624" s="24">
        <v>6</v>
      </c>
      <c r="C624" s="29" t="s">
        <v>535</v>
      </c>
      <c r="D624">
        <v>2017</v>
      </c>
      <c r="E624" s="24">
        <v>0</v>
      </c>
      <c r="F624" s="25">
        <v>49.17</v>
      </c>
      <c r="G624" s="24">
        <v>11</v>
      </c>
      <c r="H624" s="26">
        <v>37.689500000000002</v>
      </c>
      <c r="I624" s="25">
        <v>10.783200000000001</v>
      </c>
      <c r="J624" s="47" t="s">
        <v>1</v>
      </c>
      <c r="K624" s="24"/>
      <c r="L624" s="26">
        <v>4.2</v>
      </c>
      <c r="M624" s="26">
        <v>1</v>
      </c>
      <c r="N624" s="27" t="s">
        <v>2</v>
      </c>
      <c r="O624" s="28" t="s">
        <v>545</v>
      </c>
    </row>
    <row r="625" spans="1:15" ht="60" x14ac:dyDescent="0.25">
      <c r="A625">
        <v>8970</v>
      </c>
      <c r="B625" s="24">
        <v>6</v>
      </c>
      <c r="C625" s="29" t="s">
        <v>535</v>
      </c>
      <c r="D625">
        <v>2017</v>
      </c>
      <c r="E625" s="24">
        <v>42</v>
      </c>
      <c r="F625" s="25">
        <v>34.99</v>
      </c>
      <c r="G625" s="24">
        <v>12</v>
      </c>
      <c r="H625" s="26">
        <v>-27.153600000000001</v>
      </c>
      <c r="I625" s="25">
        <v>29.0063</v>
      </c>
      <c r="J625" s="47" t="s">
        <v>1</v>
      </c>
      <c r="K625" s="24">
        <v>4</v>
      </c>
      <c r="L625" s="26">
        <v>2.4</v>
      </c>
      <c r="M625" s="26">
        <v>160</v>
      </c>
      <c r="N625" s="27" t="s">
        <v>6</v>
      </c>
      <c r="O625" s="28" t="s">
        <v>467</v>
      </c>
    </row>
    <row r="626" spans="1:15" ht="60" x14ac:dyDescent="0.25">
      <c r="A626">
        <v>8971</v>
      </c>
      <c r="B626" s="24">
        <v>6</v>
      </c>
      <c r="C626" s="29" t="s">
        <v>535</v>
      </c>
      <c r="D626">
        <v>2017</v>
      </c>
      <c r="E626" s="24">
        <v>59</v>
      </c>
      <c r="F626" s="25">
        <v>51.35</v>
      </c>
      <c r="G626" s="24">
        <v>12</v>
      </c>
      <c r="H626" s="26">
        <v>-27.623799999999999</v>
      </c>
      <c r="I626" s="25">
        <v>28.938199999999998</v>
      </c>
      <c r="J626" s="47" t="s">
        <v>1</v>
      </c>
      <c r="K626" s="24">
        <v>4.2</v>
      </c>
      <c r="L626" s="26">
        <v>2.6</v>
      </c>
      <c r="M626" s="26">
        <v>145</v>
      </c>
      <c r="N626" s="27" t="s">
        <v>6</v>
      </c>
      <c r="O626" s="28" t="s">
        <v>467</v>
      </c>
    </row>
    <row r="627" spans="1:15" ht="45" x14ac:dyDescent="0.25">
      <c r="A627">
        <v>8972</v>
      </c>
      <c r="B627" s="24">
        <v>7</v>
      </c>
      <c r="C627" s="29" t="s">
        <v>535</v>
      </c>
      <c r="D627">
        <v>2017</v>
      </c>
      <c r="E627" s="24">
        <v>3</v>
      </c>
      <c r="F627" s="25">
        <v>55.84</v>
      </c>
      <c r="G627" s="24">
        <v>1</v>
      </c>
      <c r="H627" s="26">
        <v>-19.309799999999999</v>
      </c>
      <c r="I627" s="25">
        <v>16.5749</v>
      </c>
      <c r="J627" s="47" t="s">
        <v>1</v>
      </c>
      <c r="K627" s="24">
        <v>4.2</v>
      </c>
      <c r="L627" s="26">
        <v>3</v>
      </c>
      <c r="M627" s="26">
        <v>56</v>
      </c>
      <c r="N627" s="27" t="s">
        <v>291</v>
      </c>
      <c r="O627" s="28" t="s">
        <v>546</v>
      </c>
    </row>
    <row r="628" spans="1:15" ht="45" x14ac:dyDescent="0.25">
      <c r="A628">
        <v>8973</v>
      </c>
      <c r="B628" s="8">
        <v>7</v>
      </c>
      <c r="C628" s="21" t="s">
        <v>535</v>
      </c>
      <c r="D628">
        <v>2017</v>
      </c>
      <c r="E628" s="8">
        <v>31</v>
      </c>
      <c r="F628" s="9">
        <v>29.26</v>
      </c>
      <c r="G628" s="8">
        <v>5</v>
      </c>
      <c r="H628" s="11">
        <v>13.8002</v>
      </c>
      <c r="I628" s="9">
        <v>2.9436</v>
      </c>
      <c r="J628" s="45" t="s">
        <v>1</v>
      </c>
      <c r="K628" s="8">
        <v>4.2</v>
      </c>
      <c r="L628" s="11"/>
      <c r="M628" s="11">
        <v>129</v>
      </c>
      <c r="N628" s="12" t="s">
        <v>15</v>
      </c>
      <c r="O628" s="13" t="s">
        <v>357</v>
      </c>
    </row>
    <row r="629" spans="1:15" ht="90" x14ac:dyDescent="0.25">
      <c r="A629">
        <v>8974</v>
      </c>
      <c r="B629" s="14">
        <v>8</v>
      </c>
      <c r="C629" s="30" t="s">
        <v>535</v>
      </c>
      <c r="D629">
        <v>2017</v>
      </c>
      <c r="E629" s="14">
        <v>22</v>
      </c>
      <c r="F629" s="15">
        <v>40.67</v>
      </c>
      <c r="G629" s="14">
        <v>0</v>
      </c>
      <c r="H629" s="17">
        <v>4.5396000000000001</v>
      </c>
      <c r="I629" s="15">
        <v>-2.9051</v>
      </c>
      <c r="J629" s="50" t="s">
        <v>1</v>
      </c>
      <c r="K629" s="14">
        <v>4.0999999999999996</v>
      </c>
      <c r="L629" s="17">
        <v>2.4</v>
      </c>
      <c r="M629" s="17">
        <v>137</v>
      </c>
      <c r="N629" s="18" t="s">
        <v>15</v>
      </c>
      <c r="O629" s="19" t="s">
        <v>547</v>
      </c>
    </row>
    <row r="630" spans="1:15" ht="75" x14ac:dyDescent="0.25">
      <c r="A630">
        <v>8975</v>
      </c>
      <c r="B630" s="8">
        <v>8</v>
      </c>
      <c r="C630" s="21" t="s">
        <v>535</v>
      </c>
      <c r="D630">
        <v>2017</v>
      </c>
      <c r="E630" s="8">
        <v>41</v>
      </c>
      <c r="F630" s="9">
        <v>29.37</v>
      </c>
      <c r="G630" s="8">
        <v>3</v>
      </c>
      <c r="H630" s="11">
        <v>11.068199999999999</v>
      </c>
      <c r="I630" s="9">
        <v>-10.995900000000001</v>
      </c>
      <c r="J630" s="45" t="s">
        <v>1</v>
      </c>
      <c r="K630" s="8">
        <v>4.2</v>
      </c>
      <c r="L630" s="11">
        <v>2.5</v>
      </c>
      <c r="M630" s="11">
        <v>2</v>
      </c>
      <c r="N630" s="12" t="s">
        <v>15</v>
      </c>
      <c r="O630" s="13" t="s">
        <v>548</v>
      </c>
    </row>
    <row r="631" spans="1:15" ht="30" x14ac:dyDescent="0.25">
      <c r="A631">
        <v>8976</v>
      </c>
      <c r="B631" s="24">
        <v>8</v>
      </c>
      <c r="C631" s="29" t="s">
        <v>535</v>
      </c>
      <c r="D631">
        <v>2017</v>
      </c>
      <c r="E631" s="24">
        <v>45</v>
      </c>
      <c r="F631" s="25">
        <v>10.93</v>
      </c>
      <c r="G631" s="24">
        <v>9</v>
      </c>
      <c r="H631" s="26">
        <v>36.924300000000002</v>
      </c>
      <c r="I631" s="25">
        <v>9.8667999999999996</v>
      </c>
      <c r="J631" s="47" t="s">
        <v>1</v>
      </c>
      <c r="K631" s="24"/>
      <c r="L631" s="26">
        <v>3.5</v>
      </c>
      <c r="M631" s="26">
        <v>114</v>
      </c>
      <c r="N631" s="27" t="s">
        <v>2</v>
      </c>
      <c r="O631" s="28" t="s">
        <v>549</v>
      </c>
    </row>
    <row r="632" spans="1:15" ht="60" x14ac:dyDescent="0.25">
      <c r="A632">
        <v>8977</v>
      </c>
      <c r="B632" s="8">
        <v>8</v>
      </c>
      <c r="C632" s="21" t="s">
        <v>535</v>
      </c>
      <c r="D632">
        <v>2017</v>
      </c>
      <c r="E632" s="8">
        <v>0</v>
      </c>
      <c r="F632" s="9">
        <v>50.9</v>
      </c>
      <c r="G632" s="8">
        <v>13</v>
      </c>
      <c r="H632" s="11">
        <v>18.986000000000001</v>
      </c>
      <c r="I632" s="9">
        <v>-9.9344999999999999</v>
      </c>
      <c r="J632" s="45" t="s">
        <v>1</v>
      </c>
      <c r="K632" s="8">
        <v>3.9</v>
      </c>
      <c r="L632" s="11">
        <v>3.2</v>
      </c>
      <c r="M632" s="11">
        <v>94</v>
      </c>
      <c r="N632" s="12" t="s">
        <v>322</v>
      </c>
      <c r="O632" s="13" t="s">
        <v>550</v>
      </c>
    </row>
    <row r="633" spans="1:15" ht="45" x14ac:dyDescent="0.25">
      <c r="A633">
        <v>8978</v>
      </c>
      <c r="B633" s="24">
        <v>8</v>
      </c>
      <c r="C633" s="29" t="s">
        <v>535</v>
      </c>
      <c r="D633">
        <v>2017</v>
      </c>
      <c r="E633" s="24">
        <v>24</v>
      </c>
      <c r="F633" s="25">
        <v>35.299999999999997</v>
      </c>
      <c r="G633" s="24">
        <v>17</v>
      </c>
      <c r="H633" s="26">
        <v>6.5629999999999997</v>
      </c>
      <c r="I633" s="25">
        <v>46.404699999999998</v>
      </c>
      <c r="J633" s="47" t="s">
        <v>1</v>
      </c>
      <c r="K633" s="24">
        <v>3.8</v>
      </c>
      <c r="L633" s="26"/>
      <c r="M633" s="26">
        <v>121</v>
      </c>
      <c r="N633" s="27" t="s">
        <v>523</v>
      </c>
      <c r="O633" s="28" t="s">
        <v>551</v>
      </c>
    </row>
    <row r="634" spans="1:15" ht="45" x14ac:dyDescent="0.25">
      <c r="A634">
        <v>8979</v>
      </c>
      <c r="B634" s="8">
        <v>9</v>
      </c>
      <c r="C634" s="21" t="s">
        <v>535</v>
      </c>
      <c r="D634">
        <v>2017</v>
      </c>
      <c r="E634" s="8">
        <v>0</v>
      </c>
      <c r="F634" s="9">
        <v>28.97</v>
      </c>
      <c r="G634" s="8">
        <v>14</v>
      </c>
      <c r="H634" s="11">
        <v>13.1272</v>
      </c>
      <c r="I634" s="9">
        <v>1.4698</v>
      </c>
      <c r="J634" s="45" t="s">
        <v>1</v>
      </c>
      <c r="K634" s="8">
        <v>4</v>
      </c>
      <c r="L634" s="11"/>
      <c r="M634" s="11">
        <v>138</v>
      </c>
      <c r="N634" s="12" t="s">
        <v>15</v>
      </c>
      <c r="O634" s="13" t="s">
        <v>50</v>
      </c>
    </row>
    <row r="635" spans="1:15" ht="45" x14ac:dyDescent="0.25">
      <c r="A635">
        <v>8980</v>
      </c>
      <c r="B635" s="8">
        <v>9</v>
      </c>
      <c r="C635" s="21" t="s">
        <v>535</v>
      </c>
      <c r="D635">
        <v>2017</v>
      </c>
      <c r="E635" s="8">
        <v>22</v>
      </c>
      <c r="F635" s="9">
        <v>43.2</v>
      </c>
      <c r="G635" s="8">
        <v>17</v>
      </c>
      <c r="H635" s="11">
        <v>23.241199999999999</v>
      </c>
      <c r="I635" s="9">
        <v>-11.5207</v>
      </c>
      <c r="J635" s="45" t="s">
        <v>1</v>
      </c>
      <c r="K635" s="8">
        <v>3.8</v>
      </c>
      <c r="L635" s="11">
        <v>3.9</v>
      </c>
      <c r="M635" s="11">
        <v>80</v>
      </c>
      <c r="N635" s="12" t="s">
        <v>15</v>
      </c>
      <c r="O635" s="13" t="s">
        <v>172</v>
      </c>
    </row>
    <row r="636" spans="1:15" ht="45" x14ac:dyDescent="0.25">
      <c r="A636">
        <v>8981</v>
      </c>
      <c r="B636" s="24">
        <v>9</v>
      </c>
      <c r="C636" s="29" t="s">
        <v>535</v>
      </c>
      <c r="D636">
        <v>2017</v>
      </c>
      <c r="E636" s="24">
        <v>48</v>
      </c>
      <c r="F636" s="25">
        <v>55.18</v>
      </c>
      <c r="G636" s="24">
        <v>22</v>
      </c>
      <c r="H636" s="26">
        <v>32.207700000000003</v>
      </c>
      <c r="I636" s="25">
        <v>5.4752000000000001</v>
      </c>
      <c r="J636" s="47" t="s">
        <v>1</v>
      </c>
      <c r="K636" s="24">
        <v>3.5</v>
      </c>
      <c r="L636" s="26">
        <v>3</v>
      </c>
      <c r="M636" s="26">
        <v>115</v>
      </c>
      <c r="N636" s="27" t="s">
        <v>10</v>
      </c>
      <c r="O636" s="28" t="s">
        <v>405</v>
      </c>
    </row>
    <row r="637" spans="1:15" ht="45" x14ac:dyDescent="0.25">
      <c r="A637">
        <v>8982</v>
      </c>
      <c r="B637" s="24">
        <v>10</v>
      </c>
      <c r="C637" s="29" t="s">
        <v>535</v>
      </c>
      <c r="D637">
        <v>2017</v>
      </c>
      <c r="E637" s="24">
        <v>43</v>
      </c>
      <c r="F637" s="25">
        <v>39.270000000000003</v>
      </c>
      <c r="G637" s="24">
        <v>16</v>
      </c>
      <c r="H637" s="26">
        <v>-17.769200000000001</v>
      </c>
      <c r="I637" s="25">
        <v>35.3857</v>
      </c>
      <c r="J637" s="47" t="s">
        <v>1</v>
      </c>
      <c r="K637" s="24">
        <v>4.5</v>
      </c>
      <c r="L637" s="26">
        <v>4.3</v>
      </c>
      <c r="M637" s="26">
        <v>175</v>
      </c>
      <c r="N637" s="27" t="s">
        <v>26</v>
      </c>
      <c r="O637" s="28" t="s">
        <v>552</v>
      </c>
    </row>
    <row r="638" spans="1:15" ht="30" x14ac:dyDescent="0.25">
      <c r="A638">
        <v>8983</v>
      </c>
      <c r="B638" s="24">
        <v>11</v>
      </c>
      <c r="C638" s="29" t="s">
        <v>535</v>
      </c>
      <c r="D638">
        <v>2017</v>
      </c>
      <c r="E638" s="24">
        <v>26</v>
      </c>
      <c r="F638" s="25">
        <v>56.25</v>
      </c>
      <c r="G638" s="24">
        <v>14</v>
      </c>
      <c r="H638" s="26">
        <v>25.692299999999999</v>
      </c>
      <c r="I638" s="25">
        <v>23.845800000000001</v>
      </c>
      <c r="J638" s="47" t="s">
        <v>1</v>
      </c>
      <c r="K638" s="24">
        <v>3.6</v>
      </c>
      <c r="L638" s="26"/>
      <c r="M638" s="26">
        <v>139</v>
      </c>
      <c r="N638" s="27" t="s">
        <v>48</v>
      </c>
      <c r="O638" s="28" t="s">
        <v>553</v>
      </c>
    </row>
    <row r="639" spans="1:15" ht="30" x14ac:dyDescent="0.25">
      <c r="A639">
        <v>8984</v>
      </c>
      <c r="B639" s="24">
        <v>11</v>
      </c>
      <c r="C639" s="29" t="s">
        <v>535</v>
      </c>
      <c r="D639">
        <v>2017</v>
      </c>
      <c r="E639" s="24">
        <v>54</v>
      </c>
      <c r="F639" s="25">
        <v>50.77</v>
      </c>
      <c r="G639" s="24">
        <v>17</v>
      </c>
      <c r="H639" s="26">
        <v>14.8299</v>
      </c>
      <c r="I639" s="25">
        <v>23.078099999999999</v>
      </c>
      <c r="J639" s="47" t="s">
        <v>1</v>
      </c>
      <c r="K639" s="24">
        <v>4</v>
      </c>
      <c r="L639" s="26"/>
      <c r="M639" s="26">
        <v>134</v>
      </c>
      <c r="N639" s="27" t="s">
        <v>117</v>
      </c>
      <c r="O639" s="28" t="s">
        <v>554</v>
      </c>
    </row>
    <row r="640" spans="1:15" ht="45" x14ac:dyDescent="0.25">
      <c r="A640">
        <v>8985</v>
      </c>
      <c r="B640" s="8">
        <v>11</v>
      </c>
      <c r="C640" s="21" t="s">
        <v>535</v>
      </c>
      <c r="D640">
        <v>2017</v>
      </c>
      <c r="E640" s="8">
        <v>31</v>
      </c>
      <c r="F640" s="9">
        <v>59.12</v>
      </c>
      <c r="G640" s="8">
        <v>20</v>
      </c>
      <c r="H640" s="11">
        <v>12.1198</v>
      </c>
      <c r="I640" s="9">
        <v>2.5442</v>
      </c>
      <c r="J640" s="45" t="s">
        <v>1</v>
      </c>
      <c r="K640" s="8">
        <v>4.0999999999999996</v>
      </c>
      <c r="L640" s="11"/>
      <c r="M640" s="11">
        <v>44</v>
      </c>
      <c r="N640" s="12" t="s">
        <v>15</v>
      </c>
      <c r="O640" s="13" t="s">
        <v>81</v>
      </c>
    </row>
    <row r="641" spans="1:15" ht="45" x14ac:dyDescent="0.25">
      <c r="A641">
        <v>8986</v>
      </c>
      <c r="B641" s="24">
        <v>12</v>
      </c>
      <c r="C641" s="29" t="s">
        <v>535</v>
      </c>
      <c r="D641">
        <v>2017</v>
      </c>
      <c r="E641" s="24">
        <v>30</v>
      </c>
      <c r="F641" s="25">
        <v>11.95</v>
      </c>
      <c r="G641" s="24">
        <v>5</v>
      </c>
      <c r="H641" s="26">
        <v>23.9466</v>
      </c>
      <c r="I641" s="25">
        <v>4.8242000000000003</v>
      </c>
      <c r="J641" s="47" t="s">
        <v>1</v>
      </c>
      <c r="K641" s="24">
        <v>3.3</v>
      </c>
      <c r="L641" s="26">
        <v>2.9</v>
      </c>
      <c r="M641" s="26">
        <v>109</v>
      </c>
      <c r="N641" s="27" t="s">
        <v>110</v>
      </c>
      <c r="O641" s="28" t="s">
        <v>555</v>
      </c>
    </row>
    <row r="642" spans="1:15" ht="90" x14ac:dyDescent="0.25">
      <c r="A642">
        <v>8987</v>
      </c>
      <c r="B642" s="24">
        <v>12</v>
      </c>
      <c r="C642" s="29" t="s">
        <v>535</v>
      </c>
      <c r="D642">
        <v>2017</v>
      </c>
      <c r="E642" s="24">
        <v>7</v>
      </c>
      <c r="F642" s="25">
        <v>43.63</v>
      </c>
      <c r="G642" s="24">
        <v>6</v>
      </c>
      <c r="H642" s="26">
        <v>-28.553100000000001</v>
      </c>
      <c r="I642" s="25">
        <v>28.883600000000001</v>
      </c>
      <c r="J642" s="47" t="s">
        <v>1</v>
      </c>
      <c r="K642" s="24">
        <v>3.9</v>
      </c>
      <c r="L642" s="26">
        <v>2.7</v>
      </c>
      <c r="M642" s="26">
        <v>164</v>
      </c>
      <c r="N642" s="27" t="s">
        <v>6</v>
      </c>
      <c r="O642" s="28" t="s">
        <v>556</v>
      </c>
    </row>
    <row r="643" spans="1:15" ht="45" x14ac:dyDescent="0.25">
      <c r="A643">
        <v>8988</v>
      </c>
      <c r="B643" s="24">
        <v>13</v>
      </c>
      <c r="C643" s="29" t="s">
        <v>535</v>
      </c>
      <c r="D643">
        <v>2017</v>
      </c>
      <c r="E643" s="24">
        <v>21</v>
      </c>
      <c r="F643" s="25">
        <v>42.23</v>
      </c>
      <c r="G643" s="24">
        <v>4</v>
      </c>
      <c r="H643" s="26">
        <v>15.2836</v>
      </c>
      <c r="I643" s="25">
        <v>32.105699999999999</v>
      </c>
      <c r="J643" s="47" t="s">
        <v>1</v>
      </c>
      <c r="K643" s="24">
        <v>4.0999999999999996</v>
      </c>
      <c r="L643" s="26"/>
      <c r="M643" s="26">
        <v>36</v>
      </c>
      <c r="N643" s="27" t="s">
        <v>117</v>
      </c>
      <c r="O643" s="28" t="s">
        <v>557</v>
      </c>
    </row>
    <row r="644" spans="1:15" ht="60" x14ac:dyDescent="0.25">
      <c r="A644">
        <v>8989</v>
      </c>
      <c r="B644" s="24">
        <v>13</v>
      </c>
      <c r="C644" s="29" t="s">
        <v>535</v>
      </c>
      <c r="D644">
        <v>2017</v>
      </c>
      <c r="E644" s="24">
        <v>47</v>
      </c>
      <c r="F644" s="25">
        <v>17.39</v>
      </c>
      <c r="G644" s="24">
        <v>10</v>
      </c>
      <c r="H644" s="26">
        <v>-25.726800000000001</v>
      </c>
      <c r="I644" s="25">
        <v>30.6372</v>
      </c>
      <c r="J644" s="26" t="s">
        <v>1</v>
      </c>
      <c r="K644" s="24"/>
      <c r="L644" s="26">
        <v>3.2</v>
      </c>
      <c r="M644" s="26">
        <v>147</v>
      </c>
      <c r="N644" s="27" t="s">
        <v>6</v>
      </c>
      <c r="O644" s="28" t="s">
        <v>558</v>
      </c>
    </row>
    <row r="645" spans="1:15" ht="75" x14ac:dyDescent="0.25">
      <c r="A645">
        <v>8990</v>
      </c>
      <c r="B645" s="24">
        <v>13</v>
      </c>
      <c r="C645" s="29" t="s">
        <v>535</v>
      </c>
      <c r="D645">
        <v>2017</v>
      </c>
      <c r="E645" s="24">
        <v>19</v>
      </c>
      <c r="F645" s="25">
        <v>46.08</v>
      </c>
      <c r="G645" s="24">
        <v>12</v>
      </c>
      <c r="H645" s="26">
        <v>34.226599999999998</v>
      </c>
      <c r="I645" s="25">
        <v>10.8719</v>
      </c>
      <c r="J645" s="26" t="s">
        <v>1</v>
      </c>
      <c r="K645" s="24">
        <v>4.2</v>
      </c>
      <c r="L645" s="26"/>
      <c r="M645" s="26">
        <v>41</v>
      </c>
      <c r="N645" s="27" t="s">
        <v>2</v>
      </c>
      <c r="O645" s="28" t="s">
        <v>559</v>
      </c>
    </row>
    <row r="646" spans="1:15" ht="45" x14ac:dyDescent="0.25">
      <c r="A646">
        <v>8991</v>
      </c>
      <c r="B646" s="24">
        <v>13</v>
      </c>
      <c r="C646" s="29" t="s">
        <v>535</v>
      </c>
      <c r="D646">
        <v>2017</v>
      </c>
      <c r="E646" s="24">
        <v>44</v>
      </c>
      <c r="F646" s="25">
        <v>50.01</v>
      </c>
      <c r="G646" s="24">
        <v>14</v>
      </c>
      <c r="H646" s="26">
        <v>-24.896100000000001</v>
      </c>
      <c r="I646" s="25">
        <v>32.64</v>
      </c>
      <c r="J646" s="26" t="s">
        <v>1</v>
      </c>
      <c r="K646" s="24">
        <v>3.8</v>
      </c>
      <c r="L646" s="26">
        <v>3.4</v>
      </c>
      <c r="M646" s="26">
        <v>133</v>
      </c>
      <c r="N646" s="27" t="s">
        <v>26</v>
      </c>
      <c r="O646" s="28" t="s">
        <v>560</v>
      </c>
    </row>
    <row r="647" spans="1:15" ht="60" x14ac:dyDescent="0.25">
      <c r="A647">
        <v>8992</v>
      </c>
      <c r="B647" s="24">
        <v>14</v>
      </c>
      <c r="C647" s="29" t="s">
        <v>535</v>
      </c>
      <c r="D647">
        <v>2017</v>
      </c>
      <c r="E647" s="24">
        <v>3</v>
      </c>
      <c r="F647" s="25">
        <v>59.39</v>
      </c>
      <c r="G647" s="24">
        <v>3</v>
      </c>
      <c r="H647" s="26">
        <v>35.244999999999997</v>
      </c>
      <c r="I647" s="25">
        <v>9.3648000000000007</v>
      </c>
      <c r="J647" s="26" t="s">
        <v>1</v>
      </c>
      <c r="K647" s="24">
        <v>3.5</v>
      </c>
      <c r="L647" s="26"/>
      <c r="M647" s="26">
        <v>42</v>
      </c>
      <c r="N647" s="27" t="s">
        <v>2</v>
      </c>
      <c r="O647" s="28" t="s">
        <v>561</v>
      </c>
    </row>
    <row r="648" spans="1:15" ht="60" x14ac:dyDescent="0.25">
      <c r="A648">
        <v>8993</v>
      </c>
      <c r="B648" s="24">
        <v>18</v>
      </c>
      <c r="C648" s="29" t="s">
        <v>535</v>
      </c>
      <c r="D648">
        <v>2017</v>
      </c>
      <c r="E648" s="24">
        <v>37</v>
      </c>
      <c r="F648" s="25">
        <v>30.48</v>
      </c>
      <c r="G648" s="24">
        <v>3</v>
      </c>
      <c r="H648" s="26">
        <v>1.6573</v>
      </c>
      <c r="I648" s="25">
        <v>31.225300000000001</v>
      </c>
      <c r="J648" s="26" t="s">
        <v>1</v>
      </c>
      <c r="K648" s="24">
        <v>3.5</v>
      </c>
      <c r="L648" s="26"/>
      <c r="M648" s="26">
        <v>164</v>
      </c>
      <c r="N648" s="27" t="s">
        <v>484</v>
      </c>
      <c r="O648" s="28" t="s">
        <v>562</v>
      </c>
    </row>
    <row r="649" spans="1:15" ht="75" x14ac:dyDescent="0.25">
      <c r="A649">
        <v>8994</v>
      </c>
      <c r="B649" s="24">
        <v>19</v>
      </c>
      <c r="C649" s="29" t="s">
        <v>535</v>
      </c>
      <c r="D649">
        <v>2017</v>
      </c>
      <c r="E649" s="24">
        <v>53</v>
      </c>
      <c r="F649" s="25">
        <v>21.62</v>
      </c>
      <c r="G649" s="24">
        <v>22</v>
      </c>
      <c r="H649" s="26">
        <v>-22.256799999999998</v>
      </c>
      <c r="I649" s="25">
        <v>56.900599999999997</v>
      </c>
      <c r="J649" s="26" t="s">
        <v>1</v>
      </c>
      <c r="K649" s="24">
        <v>3.8</v>
      </c>
      <c r="L649" s="26"/>
      <c r="M649" s="26">
        <v>73</v>
      </c>
      <c r="N649" s="27" t="s">
        <v>563</v>
      </c>
      <c r="O649" s="28" t="s">
        <v>539</v>
      </c>
    </row>
    <row r="650" spans="1:15" ht="60" x14ac:dyDescent="0.25">
      <c r="A650">
        <v>8995</v>
      </c>
      <c r="B650" s="24">
        <v>20</v>
      </c>
      <c r="C650" s="29" t="s">
        <v>535</v>
      </c>
      <c r="D650">
        <v>2017</v>
      </c>
      <c r="E650" s="24">
        <v>32</v>
      </c>
      <c r="F650" s="25">
        <v>26.78</v>
      </c>
      <c r="G650" s="24">
        <v>1</v>
      </c>
      <c r="H650" s="26">
        <v>28.225899999999999</v>
      </c>
      <c r="I650" s="25">
        <v>32.170699999999997</v>
      </c>
      <c r="J650" s="26" t="s">
        <v>1</v>
      </c>
      <c r="K650" s="24">
        <v>4.0999999999999996</v>
      </c>
      <c r="L650" s="26"/>
      <c r="M650" s="26">
        <v>128</v>
      </c>
      <c r="N650" s="27" t="s">
        <v>72</v>
      </c>
      <c r="O650" s="28" t="s">
        <v>564</v>
      </c>
    </row>
    <row r="651" spans="1:15" ht="30" x14ac:dyDescent="0.25">
      <c r="A651">
        <v>8996</v>
      </c>
      <c r="B651" s="24">
        <v>21</v>
      </c>
      <c r="C651" s="29" t="s">
        <v>535</v>
      </c>
      <c r="D651">
        <v>2017</v>
      </c>
      <c r="E651" s="24">
        <v>59</v>
      </c>
      <c r="F651" s="25">
        <v>17.79</v>
      </c>
      <c r="G651" s="24">
        <v>14</v>
      </c>
      <c r="H651" s="26">
        <v>-13.656700000000001</v>
      </c>
      <c r="I651" s="25">
        <v>30.2669</v>
      </c>
      <c r="J651" s="26" t="s">
        <v>1</v>
      </c>
      <c r="K651" s="24">
        <v>4.0999999999999996</v>
      </c>
      <c r="L651" s="26"/>
      <c r="M651" s="26">
        <v>4</v>
      </c>
      <c r="N651" s="27" t="s">
        <v>82</v>
      </c>
      <c r="O651" s="28" t="s">
        <v>565</v>
      </c>
    </row>
    <row r="652" spans="1:15" ht="30" x14ac:dyDescent="0.25">
      <c r="A652">
        <v>8997</v>
      </c>
      <c r="B652" s="24">
        <v>24</v>
      </c>
      <c r="C652" s="29" t="s">
        <v>535</v>
      </c>
      <c r="D652">
        <v>2017</v>
      </c>
      <c r="E652" s="24">
        <v>32</v>
      </c>
      <c r="F652" s="25">
        <v>30.63</v>
      </c>
      <c r="G652" s="24">
        <v>0</v>
      </c>
      <c r="H652" s="26">
        <v>-7.9523999999999999</v>
      </c>
      <c r="I652" s="25">
        <v>35.043100000000003</v>
      </c>
      <c r="J652" s="26" t="s">
        <v>1</v>
      </c>
      <c r="K652" s="24">
        <v>5.3</v>
      </c>
      <c r="L652" s="26"/>
      <c r="M652" s="26">
        <v>85</v>
      </c>
      <c r="N652" s="27" t="s">
        <v>96</v>
      </c>
      <c r="O652" s="28" t="s">
        <v>566</v>
      </c>
    </row>
    <row r="653" spans="1:15" ht="90" x14ac:dyDescent="0.25">
      <c r="A653">
        <v>8998</v>
      </c>
      <c r="B653" s="24">
        <v>24</v>
      </c>
      <c r="C653" s="29" t="s">
        <v>535</v>
      </c>
      <c r="D653">
        <v>2017</v>
      </c>
      <c r="E653" s="24">
        <v>38</v>
      </c>
      <c r="F653" s="25">
        <v>41.46</v>
      </c>
      <c r="G653" s="24">
        <v>17</v>
      </c>
      <c r="H653" s="26">
        <v>-22.666699999999999</v>
      </c>
      <c r="I653" s="25">
        <v>37.496499999999997</v>
      </c>
      <c r="J653" s="26" t="s">
        <v>1</v>
      </c>
      <c r="K653" s="24">
        <v>5.5</v>
      </c>
      <c r="L653" s="26">
        <v>5.0999999999999996</v>
      </c>
      <c r="M653" s="26">
        <v>88</v>
      </c>
      <c r="N653" s="27" t="s">
        <v>75</v>
      </c>
      <c r="O653" s="28" t="s">
        <v>567</v>
      </c>
    </row>
    <row r="654" spans="1:15" ht="30" x14ac:dyDescent="0.25">
      <c r="A654">
        <v>8999</v>
      </c>
      <c r="B654" s="24">
        <v>25</v>
      </c>
      <c r="C654" s="29" t="s">
        <v>535</v>
      </c>
      <c r="D654">
        <v>2017</v>
      </c>
      <c r="E654" s="24">
        <v>19</v>
      </c>
      <c r="F654" s="25">
        <v>31.64</v>
      </c>
      <c r="G654" s="24">
        <v>17</v>
      </c>
      <c r="H654" s="26">
        <v>1.2665</v>
      </c>
      <c r="I654" s="25">
        <v>30.837900000000001</v>
      </c>
      <c r="J654" s="26" t="s">
        <v>1</v>
      </c>
      <c r="K654" s="24">
        <v>4.2</v>
      </c>
      <c r="L654" s="26"/>
      <c r="M654" s="26">
        <v>13</v>
      </c>
      <c r="N654" s="27" t="s">
        <v>484</v>
      </c>
      <c r="O654" s="28" t="s">
        <v>568</v>
      </c>
    </row>
    <row r="655" spans="1:15" ht="75" x14ac:dyDescent="0.25">
      <c r="A655">
        <v>9000</v>
      </c>
      <c r="B655" s="24">
        <v>2</v>
      </c>
      <c r="C655" s="29" t="s">
        <v>569</v>
      </c>
      <c r="D655">
        <v>2017</v>
      </c>
      <c r="E655" s="24">
        <v>28</v>
      </c>
      <c r="F655" s="25">
        <v>50.89</v>
      </c>
      <c r="G655" s="24">
        <v>2</v>
      </c>
      <c r="H655" s="26">
        <v>-32.3551</v>
      </c>
      <c r="I655" s="25">
        <v>31.584599999999998</v>
      </c>
      <c r="J655" s="26" t="s">
        <v>355</v>
      </c>
      <c r="K655" s="24">
        <v>3.9</v>
      </c>
      <c r="L655" s="26">
        <v>2.1</v>
      </c>
      <c r="M655" s="26">
        <v>22</v>
      </c>
      <c r="N655" s="27" t="s">
        <v>24</v>
      </c>
      <c r="O655" s="28" t="s">
        <v>570</v>
      </c>
    </row>
    <row r="656" spans="1:15" x14ac:dyDescent="0.25">
      <c r="A656">
        <v>9001</v>
      </c>
      <c r="B656" s="24">
        <v>2</v>
      </c>
      <c r="C656" s="29" t="s">
        <v>569</v>
      </c>
      <c r="D656">
        <v>2017</v>
      </c>
      <c r="E656" s="24">
        <v>6</v>
      </c>
      <c r="F656" s="25">
        <v>29.33</v>
      </c>
      <c r="G656" s="24">
        <v>22</v>
      </c>
      <c r="H656" s="26">
        <v>22.7287</v>
      </c>
      <c r="I656" s="25">
        <v>36.204900000000002</v>
      </c>
      <c r="J656" s="26" t="s">
        <v>355</v>
      </c>
      <c r="K656" s="24">
        <v>3.9</v>
      </c>
      <c r="L656" s="26"/>
      <c r="M656" s="26">
        <v>15</v>
      </c>
      <c r="N656" s="27" t="s">
        <v>117</v>
      </c>
      <c r="O656" s="28"/>
    </row>
    <row r="657" spans="1:15" ht="75" x14ac:dyDescent="0.25">
      <c r="A657">
        <v>9002</v>
      </c>
      <c r="B657" s="24">
        <v>6</v>
      </c>
      <c r="C657" s="29" t="s">
        <v>569</v>
      </c>
      <c r="D657">
        <v>2017</v>
      </c>
      <c r="E657" s="24">
        <v>52</v>
      </c>
      <c r="F657" s="25">
        <v>22.75</v>
      </c>
      <c r="G657" s="24">
        <v>5</v>
      </c>
      <c r="H657" s="26">
        <v>-24.0242</v>
      </c>
      <c r="I657" s="25">
        <v>57.177999999999997</v>
      </c>
      <c r="J657" s="26" t="s">
        <v>1</v>
      </c>
      <c r="K657" s="24">
        <v>4.0999999999999996</v>
      </c>
      <c r="L657" s="26"/>
      <c r="M657" s="26">
        <v>62</v>
      </c>
      <c r="N657" s="27" t="s">
        <v>563</v>
      </c>
      <c r="O657" s="28" t="s">
        <v>571</v>
      </c>
    </row>
    <row r="658" spans="1:15" ht="75" x14ac:dyDescent="0.25">
      <c r="A658">
        <v>9003</v>
      </c>
      <c r="B658" s="24">
        <v>8</v>
      </c>
      <c r="C658" s="29" t="s">
        <v>569</v>
      </c>
      <c r="D658">
        <v>2017</v>
      </c>
      <c r="E658" s="24">
        <v>30</v>
      </c>
      <c r="F658" s="25">
        <v>51.05</v>
      </c>
      <c r="G658" s="24">
        <v>4</v>
      </c>
      <c r="H658" s="26">
        <v>-3.2625999999999999</v>
      </c>
      <c r="I658" s="25">
        <v>44.4084</v>
      </c>
      <c r="J658" s="26" t="s">
        <v>355</v>
      </c>
      <c r="K658" s="24">
        <v>3.6</v>
      </c>
      <c r="L658" s="26"/>
      <c r="M658" s="26">
        <v>175</v>
      </c>
      <c r="N658" s="27" t="s">
        <v>241</v>
      </c>
      <c r="O658" s="28" t="s">
        <v>572</v>
      </c>
    </row>
    <row r="659" spans="1:15" ht="30" x14ac:dyDescent="0.25">
      <c r="A659">
        <v>9004</v>
      </c>
      <c r="B659" s="24">
        <v>8</v>
      </c>
      <c r="C659" s="29" t="s">
        <v>569</v>
      </c>
      <c r="D659">
        <v>2017</v>
      </c>
      <c r="E659" s="24">
        <v>19</v>
      </c>
      <c r="F659" s="25">
        <v>22.61</v>
      </c>
      <c r="G659" s="24">
        <v>14</v>
      </c>
      <c r="H659" s="26">
        <v>20.012899999999998</v>
      </c>
      <c r="I659" s="25">
        <v>32.049999999999997</v>
      </c>
      <c r="J659" s="26" t="s">
        <v>355</v>
      </c>
      <c r="K659" s="24">
        <v>3.8</v>
      </c>
      <c r="L659" s="26">
        <v>3.5</v>
      </c>
      <c r="M659" s="26">
        <v>119</v>
      </c>
      <c r="N659" s="27" t="s">
        <v>117</v>
      </c>
      <c r="O659" s="28" t="s">
        <v>148</v>
      </c>
    </row>
    <row r="660" spans="1:15" ht="30" x14ac:dyDescent="0.25">
      <c r="A660">
        <v>9005</v>
      </c>
      <c r="B660" s="24">
        <v>19</v>
      </c>
      <c r="C660" s="29" t="s">
        <v>569</v>
      </c>
      <c r="D660">
        <v>2017</v>
      </c>
      <c r="E660" s="24">
        <v>35</v>
      </c>
      <c r="F660" s="25">
        <v>22.52</v>
      </c>
      <c r="G660" s="24">
        <v>10</v>
      </c>
      <c r="H660" s="33">
        <v>-8.3160000000000007</v>
      </c>
      <c r="I660" s="25">
        <v>38.459200000000003</v>
      </c>
      <c r="J660" s="26" t="s">
        <v>355</v>
      </c>
      <c r="K660" s="24">
        <v>4.3</v>
      </c>
      <c r="L660" s="26"/>
      <c r="M660" s="26">
        <v>121</v>
      </c>
      <c r="N660" s="27" t="s">
        <v>96</v>
      </c>
      <c r="O660" s="28" t="s">
        <v>573</v>
      </c>
    </row>
    <row r="661" spans="1:15" ht="90" x14ac:dyDescent="0.25">
      <c r="A661">
        <v>9006</v>
      </c>
      <c r="B661" s="24">
        <v>19</v>
      </c>
      <c r="C661" s="29" t="s">
        <v>569</v>
      </c>
      <c r="D661">
        <v>2017</v>
      </c>
      <c r="E661" s="24">
        <v>23</v>
      </c>
      <c r="F661" s="25">
        <v>13.98</v>
      </c>
      <c r="G661" s="24">
        <v>18</v>
      </c>
      <c r="H661" s="26">
        <v>-30.073899999999998</v>
      </c>
      <c r="I661" s="25">
        <v>51.379899999999999</v>
      </c>
      <c r="J661" s="26" t="s">
        <v>355</v>
      </c>
      <c r="K661" s="24">
        <v>4.0999999999999996</v>
      </c>
      <c r="L661" s="26"/>
      <c r="M661" s="26">
        <v>56</v>
      </c>
      <c r="N661" s="27" t="s">
        <v>24</v>
      </c>
      <c r="O661" s="28" t="s">
        <v>574</v>
      </c>
    </row>
    <row r="662" spans="1:15" ht="60" x14ac:dyDescent="0.25">
      <c r="A662">
        <v>9007</v>
      </c>
      <c r="B662" s="24">
        <v>19</v>
      </c>
      <c r="C662" s="29" t="s">
        <v>569</v>
      </c>
      <c r="D662">
        <v>2017</v>
      </c>
      <c r="E662" s="24">
        <v>57</v>
      </c>
      <c r="F662" s="25">
        <v>3.99</v>
      </c>
      <c r="G662" s="24">
        <v>20</v>
      </c>
      <c r="H662" s="26">
        <v>-32.346600000000002</v>
      </c>
      <c r="I662" s="25">
        <v>25.3521</v>
      </c>
      <c r="J662" s="26" t="s">
        <v>355</v>
      </c>
      <c r="K662" s="24">
        <v>4.3</v>
      </c>
      <c r="L662" s="26"/>
      <c r="M662" s="26">
        <v>108</v>
      </c>
      <c r="N662" s="27" t="s">
        <v>6</v>
      </c>
      <c r="O662" s="28" t="s">
        <v>575</v>
      </c>
    </row>
    <row r="663" spans="1:15" ht="45" x14ac:dyDescent="0.25">
      <c r="A663">
        <v>9008</v>
      </c>
      <c r="B663" s="8">
        <v>19</v>
      </c>
      <c r="C663" s="21" t="s">
        <v>569</v>
      </c>
      <c r="D663">
        <v>2017</v>
      </c>
      <c r="E663" s="8">
        <v>20</v>
      </c>
      <c r="F663" s="9">
        <v>29.63</v>
      </c>
      <c r="G663" s="8">
        <v>22</v>
      </c>
      <c r="H663" s="11">
        <v>14.6059</v>
      </c>
      <c r="I663" s="9">
        <v>2.9336000000000002</v>
      </c>
      <c r="J663" s="11" t="s">
        <v>355</v>
      </c>
      <c r="K663" s="8">
        <v>3.9</v>
      </c>
      <c r="L663" s="11"/>
      <c r="M663" s="11">
        <v>119</v>
      </c>
      <c r="N663" s="12" t="s">
        <v>15</v>
      </c>
      <c r="O663" s="13" t="s">
        <v>357</v>
      </c>
    </row>
    <row r="664" spans="1:15" ht="45" x14ac:dyDescent="0.25">
      <c r="A664">
        <v>9009</v>
      </c>
      <c r="B664" s="8">
        <v>19</v>
      </c>
      <c r="C664" s="21" t="s">
        <v>569</v>
      </c>
      <c r="D664">
        <v>2017</v>
      </c>
      <c r="E664" s="8">
        <v>38</v>
      </c>
      <c r="F664" s="9">
        <v>41.33</v>
      </c>
      <c r="G664" s="8">
        <v>23</v>
      </c>
      <c r="H664" s="11">
        <v>6.0923999999999996</v>
      </c>
      <c r="I664" s="9">
        <v>-7.2133000000000003</v>
      </c>
      <c r="J664" s="11" t="s">
        <v>355</v>
      </c>
      <c r="K664" s="8"/>
      <c r="L664" s="11">
        <v>2.5</v>
      </c>
      <c r="M664" s="11">
        <v>137</v>
      </c>
      <c r="N664" s="12" t="s">
        <v>15</v>
      </c>
      <c r="O664" s="13" t="s">
        <v>576</v>
      </c>
    </row>
    <row r="665" spans="1:15" ht="60" x14ac:dyDescent="0.25">
      <c r="A665">
        <v>9010</v>
      </c>
      <c r="B665" s="24">
        <v>20</v>
      </c>
      <c r="C665" s="29" t="s">
        <v>569</v>
      </c>
      <c r="D665">
        <v>2017</v>
      </c>
      <c r="E665" s="24">
        <v>41</v>
      </c>
      <c r="F665" s="25">
        <v>44.01</v>
      </c>
      <c r="G665" s="24">
        <v>10</v>
      </c>
      <c r="H665" s="26">
        <v>-26.148900000000001</v>
      </c>
      <c r="I665" s="25">
        <v>28.6172</v>
      </c>
      <c r="J665" s="26" t="s">
        <v>355</v>
      </c>
      <c r="K665" s="24">
        <v>4.2</v>
      </c>
      <c r="L665" s="26">
        <v>2.9</v>
      </c>
      <c r="M665" s="26">
        <v>97</v>
      </c>
      <c r="N665" s="27" t="s">
        <v>6</v>
      </c>
      <c r="O665" s="28" t="s">
        <v>577</v>
      </c>
    </row>
    <row r="666" spans="1:15" ht="60" x14ac:dyDescent="0.25">
      <c r="A666">
        <v>9011</v>
      </c>
      <c r="B666" s="24">
        <v>20</v>
      </c>
      <c r="C666" s="29" t="s">
        <v>569</v>
      </c>
      <c r="D666">
        <v>2017</v>
      </c>
      <c r="E666" s="24">
        <v>32</v>
      </c>
      <c r="F666" s="25">
        <v>47.13</v>
      </c>
      <c r="G666" s="24">
        <v>13</v>
      </c>
      <c r="H666" s="26">
        <v>-28.653500000000001</v>
      </c>
      <c r="I666" s="25">
        <v>27.438600000000001</v>
      </c>
      <c r="J666" s="26" t="s">
        <v>355</v>
      </c>
      <c r="K666" s="24">
        <v>4.0999999999999996</v>
      </c>
      <c r="L666" s="26"/>
      <c r="M666" s="26">
        <v>165</v>
      </c>
      <c r="N666" s="27" t="s">
        <v>6</v>
      </c>
      <c r="O666" s="28" t="s">
        <v>578</v>
      </c>
    </row>
    <row r="667" spans="1:15" ht="60" x14ac:dyDescent="0.25">
      <c r="A667">
        <v>9012</v>
      </c>
      <c r="B667" s="24">
        <v>20</v>
      </c>
      <c r="C667" s="29" t="s">
        <v>569</v>
      </c>
      <c r="D667">
        <v>2017</v>
      </c>
      <c r="E667" s="24">
        <v>44</v>
      </c>
      <c r="F667" s="25">
        <v>43.23</v>
      </c>
      <c r="G667" s="24">
        <v>13</v>
      </c>
      <c r="H667" s="26">
        <v>-28.356100000000001</v>
      </c>
      <c r="I667" s="25">
        <v>24.314900000000002</v>
      </c>
      <c r="J667" s="26" t="s">
        <v>355</v>
      </c>
      <c r="K667" s="24">
        <v>4.2</v>
      </c>
      <c r="L667" s="26"/>
      <c r="M667" s="26">
        <v>23</v>
      </c>
      <c r="N667" s="27" t="s">
        <v>6</v>
      </c>
      <c r="O667" s="28" t="s">
        <v>439</v>
      </c>
    </row>
    <row r="668" spans="1:15" ht="60" x14ac:dyDescent="0.25">
      <c r="A668">
        <v>9013</v>
      </c>
      <c r="B668" s="24">
        <v>20</v>
      </c>
      <c r="C668" s="29" t="s">
        <v>569</v>
      </c>
      <c r="D668">
        <v>2017</v>
      </c>
      <c r="E668" s="24">
        <v>25</v>
      </c>
      <c r="F668" s="25">
        <v>36.06</v>
      </c>
      <c r="G668" s="24">
        <v>16</v>
      </c>
      <c r="H668" s="26">
        <v>34.315100000000001</v>
      </c>
      <c r="I668" s="25">
        <v>25.129100000000001</v>
      </c>
      <c r="J668" s="26" t="s">
        <v>355</v>
      </c>
      <c r="K668" s="24">
        <v>3.8</v>
      </c>
      <c r="L668" s="32">
        <v>4</v>
      </c>
      <c r="M668" s="26">
        <v>156</v>
      </c>
      <c r="N668" s="27" t="s">
        <v>579</v>
      </c>
      <c r="O668" s="28" t="s">
        <v>580</v>
      </c>
    </row>
    <row r="669" spans="1:15" ht="30" x14ac:dyDescent="0.25">
      <c r="A669">
        <v>9014</v>
      </c>
      <c r="B669" s="24">
        <v>20</v>
      </c>
      <c r="C669" s="29" t="s">
        <v>569</v>
      </c>
      <c r="D669">
        <v>2017</v>
      </c>
      <c r="E669" s="24">
        <v>56</v>
      </c>
      <c r="F669" s="40">
        <v>0.33</v>
      </c>
      <c r="G669" s="24">
        <v>23</v>
      </c>
      <c r="H669" s="26">
        <v>14.3339</v>
      </c>
      <c r="I669" s="25">
        <v>31.489899999999999</v>
      </c>
      <c r="J669" s="26" t="s">
        <v>355</v>
      </c>
      <c r="K669" s="36">
        <v>4</v>
      </c>
      <c r="L669" s="26"/>
      <c r="M669" s="26">
        <v>146</v>
      </c>
      <c r="N669" s="27" t="s">
        <v>117</v>
      </c>
      <c r="O669" s="28" t="s">
        <v>581</v>
      </c>
    </row>
    <row r="670" spans="1:15" ht="60" x14ac:dyDescent="0.25">
      <c r="A670">
        <v>9015</v>
      </c>
      <c r="B670" s="24">
        <v>21</v>
      </c>
      <c r="C670" s="29" t="s">
        <v>569</v>
      </c>
      <c r="D670">
        <v>2017</v>
      </c>
      <c r="E670" s="24">
        <v>40</v>
      </c>
      <c r="F670" s="25">
        <v>19.489999999999998</v>
      </c>
      <c r="G670" s="36">
        <v>0</v>
      </c>
      <c r="H670" s="26">
        <v>-28.335699999999999</v>
      </c>
      <c r="I670" s="25">
        <v>24.4514</v>
      </c>
      <c r="J670" s="26" t="s">
        <v>355</v>
      </c>
      <c r="K670" s="24">
        <v>4</v>
      </c>
      <c r="L670" s="26"/>
      <c r="M670" s="26">
        <v>115</v>
      </c>
      <c r="N670" s="27" t="s">
        <v>6</v>
      </c>
      <c r="O670" s="28" t="s">
        <v>439</v>
      </c>
    </row>
    <row r="671" spans="1:15" ht="60" x14ac:dyDescent="0.25">
      <c r="A671">
        <v>9016</v>
      </c>
      <c r="B671" s="24">
        <v>21</v>
      </c>
      <c r="C671" s="29" t="s">
        <v>569</v>
      </c>
      <c r="D671">
        <v>2017</v>
      </c>
      <c r="E671" s="24">
        <v>6</v>
      </c>
      <c r="F671" s="25">
        <v>49.33</v>
      </c>
      <c r="G671" s="24">
        <v>4</v>
      </c>
      <c r="H671" s="26">
        <v>-23.149000000000001</v>
      </c>
      <c r="I671" s="25">
        <v>30.985499999999998</v>
      </c>
      <c r="J671" s="26" t="s">
        <v>355</v>
      </c>
      <c r="K671" s="24"/>
      <c r="L671" s="26">
        <v>3.1</v>
      </c>
      <c r="M671" s="26">
        <v>126</v>
      </c>
      <c r="N671" s="27" t="s">
        <v>6</v>
      </c>
      <c r="O671" s="28" t="s">
        <v>582</v>
      </c>
    </row>
    <row r="672" spans="1:15" ht="60" x14ac:dyDescent="0.25">
      <c r="A672">
        <v>9017</v>
      </c>
      <c r="B672" s="24">
        <v>21</v>
      </c>
      <c r="C672" s="29" t="s">
        <v>569</v>
      </c>
      <c r="D672">
        <v>2017</v>
      </c>
      <c r="E672" s="24">
        <v>4</v>
      </c>
      <c r="F672" s="25">
        <v>17.14</v>
      </c>
      <c r="G672" s="24">
        <v>12</v>
      </c>
      <c r="H672" s="26">
        <v>-27.206199999999999</v>
      </c>
      <c r="I672" s="25">
        <v>28.3004</v>
      </c>
      <c r="J672" s="26" t="s">
        <v>355</v>
      </c>
      <c r="K672" s="24">
        <v>4.4000000000000004</v>
      </c>
      <c r="L672" s="26"/>
      <c r="M672" s="26">
        <v>167</v>
      </c>
      <c r="N672" s="27" t="s">
        <v>6</v>
      </c>
      <c r="O672" s="28" t="s">
        <v>193</v>
      </c>
    </row>
    <row r="673" spans="1:15" ht="60" x14ac:dyDescent="0.25">
      <c r="A673">
        <v>9018</v>
      </c>
      <c r="B673" s="24">
        <v>21</v>
      </c>
      <c r="C673" s="29" t="s">
        <v>569</v>
      </c>
      <c r="D673">
        <v>2017</v>
      </c>
      <c r="E673" s="24">
        <v>56</v>
      </c>
      <c r="F673" s="25">
        <v>15.64</v>
      </c>
      <c r="G673" s="24">
        <v>20</v>
      </c>
      <c r="H673" s="26">
        <v>30.522200000000002</v>
      </c>
      <c r="I673" s="25">
        <v>27.425599999999999</v>
      </c>
      <c r="J673" s="26" t="s">
        <v>355</v>
      </c>
      <c r="K673" s="24">
        <v>3.8</v>
      </c>
      <c r="L673" s="26"/>
      <c r="M673" s="26">
        <v>7</v>
      </c>
      <c r="N673" s="27" t="s">
        <v>72</v>
      </c>
      <c r="O673" s="28" t="s">
        <v>583</v>
      </c>
    </row>
    <row r="674" spans="1:15" ht="60" x14ac:dyDescent="0.25">
      <c r="A674">
        <v>9019</v>
      </c>
      <c r="B674" s="24">
        <v>22</v>
      </c>
      <c r="C674" s="29" t="s">
        <v>569</v>
      </c>
      <c r="D674">
        <v>2017</v>
      </c>
      <c r="E674" s="24">
        <v>21</v>
      </c>
      <c r="F674" s="25">
        <v>42.96</v>
      </c>
      <c r="G674" s="24">
        <v>1</v>
      </c>
      <c r="H674" s="26">
        <v>-26.2639</v>
      </c>
      <c r="I674" s="25">
        <v>26.724399999999999</v>
      </c>
      <c r="J674" s="26" t="s">
        <v>355</v>
      </c>
      <c r="K674" s="24"/>
      <c r="L674" s="26"/>
      <c r="M674" s="26">
        <v>116</v>
      </c>
      <c r="N674" s="27" t="s">
        <v>6</v>
      </c>
      <c r="O674" s="28" t="s">
        <v>584</v>
      </c>
    </row>
    <row r="675" spans="1:15" ht="45" x14ac:dyDescent="0.25">
      <c r="A675">
        <v>9020</v>
      </c>
      <c r="B675" s="24">
        <v>22</v>
      </c>
      <c r="C675" s="29" t="s">
        <v>569</v>
      </c>
      <c r="D675">
        <v>2017</v>
      </c>
      <c r="E675" s="24">
        <v>34</v>
      </c>
      <c r="F675" s="40">
        <v>15.1</v>
      </c>
      <c r="G675" s="24">
        <v>4</v>
      </c>
      <c r="H675" s="26">
        <v>26.590599999999998</v>
      </c>
      <c r="I675" s="25">
        <v>18.275700000000001</v>
      </c>
      <c r="J675" s="26" t="s">
        <v>355</v>
      </c>
      <c r="K675" s="24">
        <v>4.2</v>
      </c>
      <c r="L675" s="26"/>
      <c r="M675" s="26">
        <v>124</v>
      </c>
      <c r="N675" s="27" t="s">
        <v>48</v>
      </c>
      <c r="O675" s="28" t="s">
        <v>585</v>
      </c>
    </row>
    <row r="676" spans="1:15" ht="75" x14ac:dyDescent="0.25">
      <c r="A676">
        <v>9021</v>
      </c>
      <c r="B676" s="24">
        <v>22</v>
      </c>
      <c r="C676" s="29" t="s">
        <v>569</v>
      </c>
      <c r="D676">
        <v>2017</v>
      </c>
      <c r="E676" s="24">
        <v>32</v>
      </c>
      <c r="F676" s="25">
        <v>7.47</v>
      </c>
      <c r="G676" s="24">
        <v>13</v>
      </c>
      <c r="H676" s="26">
        <v>-37.263100000000001</v>
      </c>
      <c r="I676" s="25">
        <v>20.137899999999998</v>
      </c>
      <c r="J676" s="26" t="s">
        <v>355</v>
      </c>
      <c r="K676" s="24">
        <v>4.5</v>
      </c>
      <c r="L676" s="26">
        <v>6.5</v>
      </c>
      <c r="M676" s="26">
        <v>138</v>
      </c>
      <c r="N676" s="27" t="s">
        <v>24</v>
      </c>
      <c r="O676" s="28" t="s">
        <v>586</v>
      </c>
    </row>
    <row r="677" spans="1:15" ht="45" x14ac:dyDescent="0.25">
      <c r="A677">
        <v>9022</v>
      </c>
      <c r="B677" s="8">
        <v>22</v>
      </c>
      <c r="C677" s="21" t="s">
        <v>569</v>
      </c>
      <c r="D677">
        <v>2017</v>
      </c>
      <c r="E677" s="8">
        <v>45</v>
      </c>
      <c r="F677" s="9">
        <v>2.94</v>
      </c>
      <c r="G677" s="8">
        <v>21</v>
      </c>
      <c r="H677" s="11">
        <v>6.4314</v>
      </c>
      <c r="I677" s="9">
        <v>-6.2180999999999997</v>
      </c>
      <c r="J677" s="11" t="s">
        <v>355</v>
      </c>
      <c r="K677" s="8">
        <v>4.2</v>
      </c>
      <c r="L677" s="11"/>
      <c r="M677" s="11">
        <v>161</v>
      </c>
      <c r="N677" s="12" t="s">
        <v>15</v>
      </c>
      <c r="O677" s="13" t="s">
        <v>506</v>
      </c>
    </row>
    <row r="678" spans="1:15" ht="75" x14ac:dyDescent="0.25">
      <c r="A678">
        <v>9023</v>
      </c>
      <c r="B678" s="24">
        <v>23</v>
      </c>
      <c r="C678" s="29" t="s">
        <v>569</v>
      </c>
      <c r="D678">
        <v>2017</v>
      </c>
      <c r="E678" s="24">
        <v>5</v>
      </c>
      <c r="F678" s="25">
        <v>39.11</v>
      </c>
      <c r="G678" s="24">
        <v>8</v>
      </c>
      <c r="H678" s="26">
        <v>-36.552599999999998</v>
      </c>
      <c r="I678" s="25">
        <v>26.401399999999999</v>
      </c>
      <c r="J678" s="26" t="s">
        <v>355</v>
      </c>
      <c r="K678" s="24">
        <v>4.5</v>
      </c>
      <c r="L678" s="26"/>
      <c r="M678" s="26">
        <v>72</v>
      </c>
      <c r="N678" s="27" t="s">
        <v>24</v>
      </c>
      <c r="O678" s="28" t="s">
        <v>587</v>
      </c>
    </row>
    <row r="679" spans="1:15" ht="60" x14ac:dyDescent="0.25">
      <c r="A679">
        <v>9024</v>
      </c>
      <c r="B679" s="24">
        <v>25</v>
      </c>
      <c r="C679" s="29" t="s">
        <v>569</v>
      </c>
      <c r="D679">
        <v>2017</v>
      </c>
      <c r="E679" s="24">
        <v>10</v>
      </c>
      <c r="F679" s="25">
        <v>0.27</v>
      </c>
      <c r="G679" s="24">
        <v>1</v>
      </c>
      <c r="H679" s="26">
        <v>-29.503</v>
      </c>
      <c r="I679" s="25">
        <v>24.063500000000001</v>
      </c>
      <c r="J679" s="26" t="s">
        <v>355</v>
      </c>
      <c r="K679" s="24">
        <v>3.9</v>
      </c>
      <c r="L679" s="26"/>
      <c r="M679" s="26">
        <v>145</v>
      </c>
      <c r="N679" s="27" t="s">
        <v>6</v>
      </c>
      <c r="O679" s="28" t="s">
        <v>588</v>
      </c>
    </row>
    <row r="680" spans="1:15" ht="60" x14ac:dyDescent="0.25">
      <c r="A680">
        <v>9025</v>
      </c>
      <c r="B680" s="24">
        <v>25</v>
      </c>
      <c r="C680" s="29" t="s">
        <v>569</v>
      </c>
      <c r="D680">
        <v>2017</v>
      </c>
      <c r="E680" s="24">
        <v>57</v>
      </c>
      <c r="F680" s="25">
        <v>17.02</v>
      </c>
      <c r="G680" s="24">
        <v>15</v>
      </c>
      <c r="H680" s="26">
        <v>-30.150700000000001</v>
      </c>
      <c r="I680" s="25">
        <v>23.655200000000001</v>
      </c>
      <c r="J680" s="26" t="s">
        <v>355</v>
      </c>
      <c r="K680" s="24">
        <v>4.3</v>
      </c>
      <c r="L680" s="26"/>
      <c r="M680" s="26">
        <v>113</v>
      </c>
      <c r="N680" s="27" t="s">
        <v>6</v>
      </c>
      <c r="O680" s="28" t="s">
        <v>589</v>
      </c>
    </row>
    <row r="681" spans="1:15" ht="45" x14ac:dyDescent="0.25">
      <c r="A681">
        <v>9026</v>
      </c>
      <c r="B681" s="8">
        <v>26</v>
      </c>
      <c r="C681" s="21" t="s">
        <v>569</v>
      </c>
      <c r="D681">
        <v>2017</v>
      </c>
      <c r="E681" s="8">
        <v>29</v>
      </c>
      <c r="F681" s="9">
        <v>8.07</v>
      </c>
      <c r="G681" s="8">
        <v>13</v>
      </c>
      <c r="H681" s="11">
        <v>9.0355000000000008</v>
      </c>
      <c r="I681" s="9">
        <v>-3.5381</v>
      </c>
      <c r="J681" s="11" t="s">
        <v>355</v>
      </c>
      <c r="K681" s="8">
        <v>4.3</v>
      </c>
      <c r="L681" s="11"/>
      <c r="M681" s="11">
        <v>111</v>
      </c>
      <c r="N681" s="12" t="s">
        <v>15</v>
      </c>
      <c r="O681" s="13" t="s">
        <v>590</v>
      </c>
    </row>
    <row r="682" spans="1:15" ht="30" x14ac:dyDescent="0.25">
      <c r="A682">
        <v>9027</v>
      </c>
      <c r="B682" s="24">
        <v>26</v>
      </c>
      <c r="C682" s="29" t="s">
        <v>569</v>
      </c>
      <c r="D682">
        <v>2017</v>
      </c>
      <c r="E682" s="24">
        <v>52</v>
      </c>
      <c r="F682" s="25">
        <v>42.82</v>
      </c>
      <c r="G682" s="24">
        <v>19</v>
      </c>
      <c r="H682" s="26">
        <v>-7.7171000000000003</v>
      </c>
      <c r="I682" s="25">
        <v>38.572299999999998</v>
      </c>
      <c r="J682" s="26" t="s">
        <v>355</v>
      </c>
      <c r="K682" s="24">
        <v>3.7</v>
      </c>
      <c r="L682" s="26"/>
      <c r="M682" s="26">
        <v>132</v>
      </c>
      <c r="N682" s="27" t="s">
        <v>96</v>
      </c>
      <c r="O682" s="28" t="s">
        <v>573</v>
      </c>
    </row>
    <row r="683" spans="1:15" ht="60" x14ac:dyDescent="0.25">
      <c r="A683">
        <v>9028</v>
      </c>
      <c r="B683" s="24">
        <v>26</v>
      </c>
      <c r="C683" s="29" t="s">
        <v>569</v>
      </c>
      <c r="D683">
        <v>2017</v>
      </c>
      <c r="E683" s="24">
        <v>16</v>
      </c>
      <c r="F683" s="25">
        <v>37.69</v>
      </c>
      <c r="G683" s="24">
        <v>21</v>
      </c>
      <c r="H683" s="26">
        <v>-28.982700000000001</v>
      </c>
      <c r="I683" s="25">
        <v>25.009799999999998</v>
      </c>
      <c r="J683" s="26" t="s">
        <v>355</v>
      </c>
      <c r="K683" s="24">
        <v>4.2</v>
      </c>
      <c r="L683" s="26"/>
      <c r="M683" s="26">
        <v>149</v>
      </c>
      <c r="N683" s="27" t="s">
        <v>6</v>
      </c>
      <c r="O683" s="28" t="s">
        <v>236</v>
      </c>
    </row>
    <row r="684" spans="1:15" ht="45" x14ac:dyDescent="0.25">
      <c r="A684">
        <v>9029</v>
      </c>
      <c r="B684" s="24">
        <v>27</v>
      </c>
      <c r="C684" s="29" t="s">
        <v>569</v>
      </c>
      <c r="D684">
        <v>2017</v>
      </c>
      <c r="E684" s="24">
        <v>45</v>
      </c>
      <c r="F684" s="25">
        <v>58.48</v>
      </c>
      <c r="G684" s="24">
        <v>5</v>
      </c>
      <c r="H684" s="26">
        <v>35.037700000000001</v>
      </c>
      <c r="I684" s="25">
        <v>24.012499999999999</v>
      </c>
      <c r="J684" s="26" t="s">
        <v>591</v>
      </c>
      <c r="K684" s="24">
        <v>3.7</v>
      </c>
      <c r="L684" s="26"/>
      <c r="M684" s="26">
        <v>0</v>
      </c>
      <c r="N684" s="27" t="s">
        <v>579</v>
      </c>
      <c r="O684" s="28" t="s">
        <v>592</v>
      </c>
    </row>
    <row r="685" spans="1:15" ht="60" x14ac:dyDescent="0.25">
      <c r="A685">
        <v>9030</v>
      </c>
      <c r="B685" s="24">
        <v>27</v>
      </c>
      <c r="C685" s="29" t="s">
        <v>569</v>
      </c>
      <c r="D685">
        <v>2017</v>
      </c>
      <c r="E685" s="24">
        <v>17</v>
      </c>
      <c r="F685" s="25">
        <v>19.45</v>
      </c>
      <c r="G685" s="24">
        <v>11</v>
      </c>
      <c r="H685" s="26">
        <v>23.294799999999999</v>
      </c>
      <c r="I685" s="25">
        <v>-0.5746</v>
      </c>
      <c r="J685" s="26" t="s">
        <v>355</v>
      </c>
      <c r="K685" s="24">
        <v>3.9</v>
      </c>
      <c r="L685" s="26">
        <v>4.0999999999999996</v>
      </c>
      <c r="M685" s="26">
        <v>72</v>
      </c>
      <c r="N685" s="27" t="s">
        <v>110</v>
      </c>
      <c r="O685" s="28" t="s">
        <v>530</v>
      </c>
    </row>
    <row r="686" spans="1:15" ht="60" x14ac:dyDescent="0.25">
      <c r="A686">
        <v>9031</v>
      </c>
      <c r="B686" s="24">
        <v>27</v>
      </c>
      <c r="C686" s="29" t="s">
        <v>569</v>
      </c>
      <c r="D686">
        <v>2017</v>
      </c>
      <c r="E686" s="24">
        <v>55</v>
      </c>
      <c r="F686" s="25">
        <v>26.77</v>
      </c>
      <c r="G686" s="24">
        <v>17</v>
      </c>
      <c r="H686" s="26">
        <v>33.960299999999997</v>
      </c>
      <c r="I686" s="25">
        <v>0.1966</v>
      </c>
      <c r="J686" s="26" t="s">
        <v>355</v>
      </c>
      <c r="K686" s="36">
        <v>4</v>
      </c>
      <c r="L686" s="26"/>
      <c r="M686" s="26">
        <v>130</v>
      </c>
      <c r="N686" s="27" t="s">
        <v>10</v>
      </c>
      <c r="O686" s="28" t="s">
        <v>593</v>
      </c>
    </row>
    <row r="687" spans="1:15" ht="90" x14ac:dyDescent="0.25">
      <c r="A687">
        <v>9032</v>
      </c>
      <c r="B687" s="24">
        <v>28</v>
      </c>
      <c r="C687" s="29" t="s">
        <v>569</v>
      </c>
      <c r="D687">
        <v>2017</v>
      </c>
      <c r="E687" s="24">
        <v>0</v>
      </c>
      <c r="F687" s="25">
        <v>33.31</v>
      </c>
      <c r="G687" s="24">
        <v>9</v>
      </c>
      <c r="H687" s="26">
        <v>-38.875100000000003</v>
      </c>
      <c r="I687" s="25">
        <v>19.473500000000001</v>
      </c>
      <c r="J687" s="26" t="s">
        <v>355</v>
      </c>
      <c r="K687" s="24">
        <v>3.8</v>
      </c>
      <c r="L687" s="26"/>
      <c r="M687" s="26">
        <v>84</v>
      </c>
      <c r="N687" s="27" t="s">
        <v>24</v>
      </c>
      <c r="O687" s="28" t="s">
        <v>594</v>
      </c>
    </row>
    <row r="688" spans="1:15" ht="75" x14ac:dyDescent="0.25">
      <c r="A688">
        <v>9033</v>
      </c>
      <c r="B688" s="24">
        <v>28</v>
      </c>
      <c r="C688" s="29" t="s">
        <v>569</v>
      </c>
      <c r="D688">
        <v>2017</v>
      </c>
      <c r="E688" s="24">
        <v>43</v>
      </c>
      <c r="F688" s="25">
        <v>25.73</v>
      </c>
      <c r="G688" s="24">
        <v>10</v>
      </c>
      <c r="H688" s="26">
        <v>-33.894199999999998</v>
      </c>
      <c r="I688" s="25">
        <v>28.391300000000001</v>
      </c>
      <c r="J688" s="26" t="s">
        <v>355</v>
      </c>
      <c r="K688" s="24">
        <v>4.2</v>
      </c>
      <c r="L688" s="26">
        <v>3.6</v>
      </c>
      <c r="M688" s="26">
        <v>72</v>
      </c>
      <c r="N688" s="27" t="s">
        <v>6</v>
      </c>
      <c r="O688" s="28" t="s">
        <v>595</v>
      </c>
    </row>
    <row r="689" spans="1:15" ht="60" x14ac:dyDescent="0.25">
      <c r="A689">
        <v>9034</v>
      </c>
      <c r="B689" s="8">
        <v>28</v>
      </c>
      <c r="C689" s="21" t="s">
        <v>569</v>
      </c>
      <c r="D689">
        <v>2017</v>
      </c>
      <c r="E689" s="8">
        <v>44</v>
      </c>
      <c r="F689" s="9">
        <v>18.73</v>
      </c>
      <c r="G689" s="8">
        <v>12</v>
      </c>
      <c r="H689" s="11">
        <v>7.2630999999999997</v>
      </c>
      <c r="I689" s="9">
        <v>-3.5800999999999998</v>
      </c>
      <c r="J689" s="11" t="s">
        <v>355</v>
      </c>
      <c r="K689" s="8">
        <v>4.4000000000000004</v>
      </c>
      <c r="L689" s="11"/>
      <c r="M689" s="11">
        <v>14</v>
      </c>
      <c r="N689" s="12" t="s">
        <v>15</v>
      </c>
      <c r="O689" s="13" t="s">
        <v>521</v>
      </c>
    </row>
    <row r="690" spans="1:15" ht="45" x14ac:dyDescent="0.25">
      <c r="A690">
        <v>9035</v>
      </c>
      <c r="B690" s="8">
        <v>29</v>
      </c>
      <c r="C690" s="21" t="s">
        <v>569</v>
      </c>
      <c r="D690">
        <v>2017</v>
      </c>
      <c r="E690" s="8">
        <v>8</v>
      </c>
      <c r="F690" s="9">
        <v>55.51</v>
      </c>
      <c r="G690" s="38">
        <v>0</v>
      </c>
      <c r="H690" s="11">
        <v>16.4724</v>
      </c>
      <c r="I690" s="35">
        <v>-11.502000000000001</v>
      </c>
      <c r="J690" s="11" t="s">
        <v>355</v>
      </c>
      <c r="K690" s="8">
        <v>3.5</v>
      </c>
      <c r="L690" s="11">
        <v>4</v>
      </c>
      <c r="M690" s="11">
        <v>66</v>
      </c>
      <c r="N690" s="12" t="s">
        <v>15</v>
      </c>
      <c r="O690" s="13" t="s">
        <v>596</v>
      </c>
    </row>
    <row r="691" spans="1:15" ht="75" x14ac:dyDescent="0.25">
      <c r="A691">
        <v>9036</v>
      </c>
      <c r="B691" s="24">
        <v>29</v>
      </c>
      <c r="C691" s="29" t="s">
        <v>569</v>
      </c>
      <c r="D691">
        <v>2017</v>
      </c>
      <c r="E691" s="24">
        <v>38</v>
      </c>
      <c r="F691" s="40">
        <v>37.700000000000003</v>
      </c>
      <c r="G691" s="24">
        <v>1</v>
      </c>
      <c r="H691" s="26">
        <v>32.630800000000001</v>
      </c>
      <c r="I691" s="25">
        <v>23.5505</v>
      </c>
      <c r="J691" s="26" t="s">
        <v>355</v>
      </c>
      <c r="K691" s="24">
        <v>3.9</v>
      </c>
      <c r="L691" s="26"/>
      <c r="M691" s="26">
        <v>71</v>
      </c>
      <c r="N691" s="27" t="s">
        <v>135</v>
      </c>
      <c r="O691" s="28" t="s">
        <v>597</v>
      </c>
    </row>
    <row r="692" spans="1:15" ht="90" x14ac:dyDescent="0.25">
      <c r="A692">
        <v>9037</v>
      </c>
      <c r="B692" s="8">
        <v>29</v>
      </c>
      <c r="C692" s="21" t="s">
        <v>569</v>
      </c>
      <c r="D692">
        <v>2017</v>
      </c>
      <c r="E692" s="8">
        <v>53</v>
      </c>
      <c r="F692" s="9">
        <v>44.13</v>
      </c>
      <c r="G692" s="8">
        <v>5</v>
      </c>
      <c r="H692" s="11">
        <v>7.2872000000000003</v>
      </c>
      <c r="I692" s="9">
        <v>-5.5388000000000002</v>
      </c>
      <c r="J692" s="11" t="s">
        <v>355</v>
      </c>
      <c r="K692" s="8">
        <v>4.0999999999999996</v>
      </c>
      <c r="L692" s="11"/>
      <c r="M692" s="11">
        <v>42</v>
      </c>
      <c r="N692" s="12" t="s">
        <v>15</v>
      </c>
      <c r="O692" s="13" t="s">
        <v>173</v>
      </c>
    </row>
    <row r="693" spans="1:15" ht="60" x14ac:dyDescent="0.25">
      <c r="A693">
        <v>9038</v>
      </c>
      <c r="B693" s="8">
        <v>29</v>
      </c>
      <c r="C693" s="21" t="s">
        <v>569</v>
      </c>
      <c r="D693">
        <v>2017</v>
      </c>
      <c r="E693" s="8">
        <v>11</v>
      </c>
      <c r="F693" s="9">
        <v>30.34</v>
      </c>
      <c r="G693" s="8">
        <v>9</v>
      </c>
      <c r="H693" s="11">
        <v>10.2051</v>
      </c>
      <c r="I693" s="35">
        <v>-12.772</v>
      </c>
      <c r="J693" s="11" t="s">
        <v>355</v>
      </c>
      <c r="K693" s="8">
        <v>4.3</v>
      </c>
      <c r="L693" s="11"/>
      <c r="M693" s="11">
        <v>138</v>
      </c>
      <c r="N693" s="12" t="s">
        <v>15</v>
      </c>
      <c r="O693" s="13" t="s">
        <v>598</v>
      </c>
    </row>
    <row r="694" spans="1:15" ht="60" x14ac:dyDescent="0.25">
      <c r="A694">
        <v>9039</v>
      </c>
      <c r="B694" s="24">
        <v>29</v>
      </c>
      <c r="C694" s="29" t="s">
        <v>569</v>
      </c>
      <c r="D694">
        <v>2017</v>
      </c>
      <c r="E694" s="24">
        <v>37</v>
      </c>
      <c r="F694" s="25">
        <v>1.65</v>
      </c>
      <c r="G694" s="24">
        <v>20</v>
      </c>
      <c r="H694" s="26">
        <v>-10.9643</v>
      </c>
      <c r="I694" s="25">
        <v>41.1205</v>
      </c>
      <c r="J694" s="26" t="s">
        <v>355</v>
      </c>
      <c r="K694" s="24">
        <v>4.5</v>
      </c>
      <c r="L694" s="26"/>
      <c r="M694" s="26">
        <v>119</v>
      </c>
      <c r="N694" s="27" t="s">
        <v>241</v>
      </c>
      <c r="O694" s="28" t="s">
        <v>284</v>
      </c>
    </row>
    <row r="695" spans="1:15" ht="60" x14ac:dyDescent="0.25">
      <c r="A695">
        <v>9040</v>
      </c>
      <c r="B695" s="24">
        <v>30</v>
      </c>
      <c r="C695" s="29" t="s">
        <v>569</v>
      </c>
      <c r="D695">
        <v>2017</v>
      </c>
      <c r="E695" s="24">
        <v>12</v>
      </c>
      <c r="F695" s="25">
        <v>27.16</v>
      </c>
      <c r="G695" s="24">
        <v>5</v>
      </c>
      <c r="H695" s="26">
        <v>34.926699999999997</v>
      </c>
      <c r="I695" s="25">
        <v>24.827100000000002</v>
      </c>
      <c r="J695" s="26" t="s">
        <v>599</v>
      </c>
      <c r="K695" s="24">
        <v>4.0999999999999996</v>
      </c>
      <c r="L695" s="26">
        <v>4.5</v>
      </c>
      <c r="M695" s="26">
        <v>177</v>
      </c>
      <c r="N695" s="27" t="s">
        <v>579</v>
      </c>
      <c r="O695" s="28" t="s">
        <v>600</v>
      </c>
    </row>
    <row r="696" spans="1:15" ht="75" x14ac:dyDescent="0.25">
      <c r="A696">
        <v>9041</v>
      </c>
      <c r="B696" s="24">
        <v>30</v>
      </c>
      <c r="C696" s="29" t="s">
        <v>569</v>
      </c>
      <c r="D696">
        <v>2017</v>
      </c>
      <c r="E696" s="24">
        <v>7</v>
      </c>
      <c r="F696" s="25">
        <v>49.91</v>
      </c>
      <c r="G696" s="24">
        <v>8</v>
      </c>
      <c r="H696" s="26">
        <v>-36.256300000000003</v>
      </c>
      <c r="I696" s="25">
        <v>32.924500000000002</v>
      </c>
      <c r="J696" s="26" t="s">
        <v>355</v>
      </c>
      <c r="K696" s="24">
        <v>4.5</v>
      </c>
      <c r="L696" s="26"/>
      <c r="M696" s="26">
        <v>98</v>
      </c>
      <c r="N696" s="27" t="s">
        <v>24</v>
      </c>
      <c r="O696" s="28" t="s">
        <v>601</v>
      </c>
    </row>
    <row r="697" spans="1:15" ht="60" x14ac:dyDescent="0.25">
      <c r="A697">
        <v>9042</v>
      </c>
      <c r="B697" s="24">
        <v>30</v>
      </c>
      <c r="C697" s="29" t="s">
        <v>569</v>
      </c>
      <c r="D697">
        <v>2017</v>
      </c>
      <c r="E697" s="24">
        <v>43</v>
      </c>
      <c r="F697" s="25">
        <v>23.92</v>
      </c>
      <c r="G697" s="24">
        <v>15</v>
      </c>
      <c r="H697" s="26">
        <v>-29.4526</v>
      </c>
      <c r="I697" s="25">
        <v>24.243099999999998</v>
      </c>
      <c r="J697" s="26" t="s">
        <v>355</v>
      </c>
      <c r="K697" s="24">
        <v>4.0999999999999996</v>
      </c>
      <c r="L697" s="26"/>
      <c r="M697" s="26">
        <v>133</v>
      </c>
      <c r="N697" s="27" t="s">
        <v>6</v>
      </c>
      <c r="O697" s="28" t="s">
        <v>588</v>
      </c>
    </row>
    <row r="698" spans="1:15" ht="60" x14ac:dyDescent="0.25">
      <c r="A698">
        <v>9043</v>
      </c>
      <c r="B698" s="24">
        <v>30</v>
      </c>
      <c r="C698" s="29" t="s">
        <v>569</v>
      </c>
      <c r="D698">
        <v>2017</v>
      </c>
      <c r="E698" s="24">
        <v>45</v>
      </c>
      <c r="F698" s="25">
        <v>7.69</v>
      </c>
      <c r="G698" s="24">
        <v>16</v>
      </c>
      <c r="H698" s="26">
        <v>-24.288399999999999</v>
      </c>
      <c r="I698" s="25">
        <v>24.105899999999998</v>
      </c>
      <c r="J698" s="26" t="s">
        <v>355</v>
      </c>
      <c r="K698" s="24">
        <v>4.3</v>
      </c>
      <c r="L698" s="26"/>
      <c r="M698" s="26">
        <v>44</v>
      </c>
      <c r="N698" s="27" t="s">
        <v>66</v>
      </c>
      <c r="O698" s="28" t="s">
        <v>602</v>
      </c>
    </row>
    <row r="699" spans="1:15" ht="45" x14ac:dyDescent="0.25">
      <c r="A699">
        <v>9044</v>
      </c>
      <c r="B699" s="24">
        <v>30</v>
      </c>
      <c r="C699" s="29" t="s">
        <v>569</v>
      </c>
      <c r="D699">
        <v>2017</v>
      </c>
      <c r="E699" s="24">
        <v>57</v>
      </c>
      <c r="F699" s="25">
        <v>55.23</v>
      </c>
      <c r="G699" s="24">
        <v>19</v>
      </c>
      <c r="H699" s="26">
        <v>35.265799999999999</v>
      </c>
      <c r="I699" s="25">
        <v>23.057099999999998</v>
      </c>
      <c r="J699" s="26" t="s">
        <v>603</v>
      </c>
      <c r="K699" s="24">
        <v>3.2</v>
      </c>
      <c r="L699" s="26">
        <v>3.6</v>
      </c>
      <c r="M699" s="26">
        <v>30</v>
      </c>
      <c r="N699" s="27" t="s">
        <v>579</v>
      </c>
      <c r="O699" s="28" t="s">
        <v>604</v>
      </c>
    </row>
    <row r="700" spans="1:15" ht="60" x14ac:dyDescent="0.25">
      <c r="A700">
        <v>9045</v>
      </c>
      <c r="B700" s="24">
        <v>30</v>
      </c>
      <c r="C700" s="29" t="s">
        <v>569</v>
      </c>
      <c r="D700">
        <v>2017</v>
      </c>
      <c r="E700" s="24">
        <v>19</v>
      </c>
      <c r="F700" s="25">
        <v>55.85</v>
      </c>
      <c r="G700" s="24">
        <v>20</v>
      </c>
      <c r="H700" s="26">
        <v>-28.920400000000001</v>
      </c>
      <c r="I700" s="25">
        <v>25.0763</v>
      </c>
      <c r="J700" s="26" t="s">
        <v>355</v>
      </c>
      <c r="K700" s="24">
        <v>4.3</v>
      </c>
      <c r="L700" s="26"/>
      <c r="M700" s="26">
        <v>34</v>
      </c>
      <c r="N700" s="27" t="s">
        <v>6</v>
      </c>
      <c r="O700" s="28" t="s">
        <v>236</v>
      </c>
    </row>
    <row r="701" spans="1:15" ht="60" x14ac:dyDescent="0.25">
      <c r="A701">
        <v>9046</v>
      </c>
      <c r="B701" s="24">
        <v>1</v>
      </c>
      <c r="C701" s="29" t="s">
        <v>605</v>
      </c>
      <c r="D701">
        <v>2017</v>
      </c>
      <c r="E701" s="24">
        <v>33</v>
      </c>
      <c r="F701" s="25">
        <v>47.85</v>
      </c>
      <c r="G701" s="24">
        <v>13</v>
      </c>
      <c r="H701" s="26">
        <v>-24.6586</v>
      </c>
      <c r="I701" s="25">
        <v>31.5791</v>
      </c>
      <c r="J701" s="26" t="s">
        <v>1</v>
      </c>
      <c r="K701" s="24">
        <v>4.2</v>
      </c>
      <c r="L701" s="26">
        <v>3.3</v>
      </c>
      <c r="M701" s="26">
        <v>167</v>
      </c>
      <c r="N701" s="27" t="s">
        <v>6</v>
      </c>
      <c r="O701" s="28" t="s">
        <v>89</v>
      </c>
    </row>
    <row r="702" spans="1:15" ht="60" x14ac:dyDescent="0.25">
      <c r="A702">
        <v>9047</v>
      </c>
      <c r="B702" s="24">
        <v>1</v>
      </c>
      <c r="C702" s="29" t="s">
        <v>605</v>
      </c>
      <c r="D702">
        <v>2017</v>
      </c>
      <c r="E702" s="24">
        <v>3</v>
      </c>
      <c r="F702" s="25">
        <v>50.36</v>
      </c>
      <c r="G702" s="24">
        <v>22</v>
      </c>
      <c r="H702" s="26">
        <v>34.661499999999997</v>
      </c>
      <c r="I702" s="25">
        <v>-3.6404999999999998</v>
      </c>
      <c r="J702" s="26" t="s">
        <v>1</v>
      </c>
      <c r="K702" s="24">
        <v>4</v>
      </c>
      <c r="L702" s="26"/>
      <c r="M702" s="26">
        <v>87</v>
      </c>
      <c r="N702" s="27" t="s">
        <v>28</v>
      </c>
      <c r="O702" s="28" t="s">
        <v>606</v>
      </c>
    </row>
    <row r="703" spans="1:15" ht="60" x14ac:dyDescent="0.25">
      <c r="A703">
        <v>9048</v>
      </c>
      <c r="B703" s="24">
        <v>2</v>
      </c>
      <c r="C703" s="29" t="s">
        <v>605</v>
      </c>
      <c r="D703">
        <v>2017</v>
      </c>
      <c r="E703" s="24">
        <v>12</v>
      </c>
      <c r="F703" s="25">
        <v>0.04</v>
      </c>
      <c r="G703" s="24">
        <v>12</v>
      </c>
      <c r="H703" s="26">
        <v>-28.086099999999998</v>
      </c>
      <c r="I703" s="25">
        <v>28.3748</v>
      </c>
      <c r="J703" s="26" t="s">
        <v>1</v>
      </c>
      <c r="K703" s="24">
        <v>4.5</v>
      </c>
      <c r="L703" s="26"/>
      <c r="M703" s="26">
        <v>2</v>
      </c>
      <c r="N703" s="27" t="s">
        <v>6</v>
      </c>
      <c r="O703" s="28" t="s">
        <v>607</v>
      </c>
    </row>
    <row r="704" spans="1:15" ht="60" x14ac:dyDescent="0.25">
      <c r="A704">
        <v>9049</v>
      </c>
      <c r="B704" s="24">
        <v>2</v>
      </c>
      <c r="C704" s="29" t="s">
        <v>605</v>
      </c>
      <c r="D704">
        <v>2017</v>
      </c>
      <c r="E704" s="24">
        <v>56</v>
      </c>
      <c r="F704" s="25">
        <v>23.31</v>
      </c>
      <c r="G704" s="24">
        <v>14</v>
      </c>
      <c r="H704" s="26">
        <v>-26.6235</v>
      </c>
      <c r="I704" s="25">
        <v>27.966200000000001</v>
      </c>
      <c r="J704" s="26" t="s">
        <v>1</v>
      </c>
      <c r="K704" s="24">
        <v>4.2</v>
      </c>
      <c r="L704" s="26">
        <v>2.8</v>
      </c>
      <c r="M704" s="26">
        <v>153</v>
      </c>
      <c r="N704" s="27" t="s">
        <v>6</v>
      </c>
      <c r="O704" s="28" t="s">
        <v>608</v>
      </c>
    </row>
    <row r="705" spans="1:15" ht="90" x14ac:dyDescent="0.25">
      <c r="A705">
        <v>9050</v>
      </c>
      <c r="B705" s="24">
        <v>3</v>
      </c>
      <c r="C705" s="29" t="s">
        <v>605</v>
      </c>
      <c r="D705">
        <v>2017</v>
      </c>
      <c r="E705" s="24">
        <v>8</v>
      </c>
      <c r="F705" s="25">
        <v>50.98</v>
      </c>
      <c r="G705" s="24">
        <v>3</v>
      </c>
      <c r="H705" s="26">
        <v>-26.897099999999998</v>
      </c>
      <c r="I705" s="25">
        <v>26.608499999999999</v>
      </c>
      <c r="J705" s="26" t="s">
        <v>1</v>
      </c>
      <c r="K705" s="24">
        <v>4.8</v>
      </c>
      <c r="L705" s="26">
        <v>5.0999999999999996</v>
      </c>
      <c r="M705" s="26">
        <v>112</v>
      </c>
      <c r="N705" s="27" t="s">
        <v>6</v>
      </c>
      <c r="O705" s="28" t="s">
        <v>609</v>
      </c>
    </row>
    <row r="706" spans="1:15" ht="45" x14ac:dyDescent="0.25">
      <c r="A706">
        <v>9051</v>
      </c>
      <c r="B706" s="8">
        <v>3</v>
      </c>
      <c r="C706" s="21" t="s">
        <v>605</v>
      </c>
      <c r="D706">
        <v>2017</v>
      </c>
      <c r="E706" s="8">
        <v>23</v>
      </c>
      <c r="F706" s="9">
        <v>58.63</v>
      </c>
      <c r="G706" s="8">
        <v>4</v>
      </c>
      <c r="H706" s="11">
        <v>6.0270000000000001</v>
      </c>
      <c r="I706" s="9">
        <v>-3.6274000000000002</v>
      </c>
      <c r="J706" s="11" t="s">
        <v>1</v>
      </c>
      <c r="K706" s="8">
        <v>3.8</v>
      </c>
      <c r="L706" s="11"/>
      <c r="M706" s="11">
        <v>176</v>
      </c>
      <c r="N706" s="12" t="s">
        <v>15</v>
      </c>
      <c r="O706" s="13" t="s">
        <v>610</v>
      </c>
    </row>
    <row r="707" spans="1:15" ht="60" x14ac:dyDescent="0.25">
      <c r="A707">
        <v>9052</v>
      </c>
      <c r="B707" s="24">
        <v>3</v>
      </c>
      <c r="C707" s="29" t="s">
        <v>605</v>
      </c>
      <c r="D707">
        <v>2017</v>
      </c>
      <c r="E707" s="24">
        <v>36</v>
      </c>
      <c r="F707" s="25">
        <v>2.2999999999999998</v>
      </c>
      <c r="G707" s="24">
        <v>10</v>
      </c>
      <c r="H707" s="26">
        <v>26.9435</v>
      </c>
      <c r="I707" s="25">
        <v>11.411</v>
      </c>
      <c r="J707" s="26" t="s">
        <v>1</v>
      </c>
      <c r="K707" s="24">
        <v>3.9</v>
      </c>
      <c r="L707" s="26">
        <v>4.0999999999999996</v>
      </c>
      <c r="M707" s="26">
        <v>10</v>
      </c>
      <c r="N707" s="27" t="s">
        <v>48</v>
      </c>
      <c r="O707" s="28" t="s">
        <v>611</v>
      </c>
    </row>
    <row r="708" spans="1:15" ht="60" x14ac:dyDescent="0.25">
      <c r="A708">
        <v>9053</v>
      </c>
      <c r="B708" s="24">
        <v>3</v>
      </c>
      <c r="C708" s="29" t="s">
        <v>605</v>
      </c>
      <c r="D708">
        <v>2017</v>
      </c>
      <c r="E708" s="24">
        <v>40</v>
      </c>
      <c r="F708" s="25">
        <v>13.96</v>
      </c>
      <c r="G708" s="24">
        <v>17</v>
      </c>
      <c r="H708" s="26">
        <v>-22.645</v>
      </c>
      <c r="I708" s="25">
        <v>25.406600000000001</v>
      </c>
      <c r="J708" s="26" t="s">
        <v>1</v>
      </c>
      <c r="K708" s="24">
        <v>5.7</v>
      </c>
      <c r="L708" s="26"/>
      <c r="M708" s="26">
        <v>80</v>
      </c>
      <c r="N708" s="27" t="s">
        <v>66</v>
      </c>
      <c r="O708" s="28" t="s">
        <v>612</v>
      </c>
    </row>
    <row r="709" spans="1:15" ht="45" x14ac:dyDescent="0.25">
      <c r="A709">
        <v>9054</v>
      </c>
      <c r="B709" s="24">
        <v>3</v>
      </c>
      <c r="C709" s="29" t="s">
        <v>605</v>
      </c>
      <c r="D709">
        <v>2017</v>
      </c>
      <c r="E709" s="24">
        <v>40</v>
      </c>
      <c r="F709" s="25">
        <v>28.02</v>
      </c>
      <c r="G709" s="24">
        <v>17</v>
      </c>
      <c r="H709" s="26">
        <v>-22.557099999999998</v>
      </c>
      <c r="I709" s="25">
        <v>24.977799999999998</v>
      </c>
      <c r="J709" s="26" t="s">
        <v>1</v>
      </c>
      <c r="K709" s="24">
        <v>5.5</v>
      </c>
      <c r="L709" s="26"/>
      <c r="M709" s="26">
        <v>115</v>
      </c>
      <c r="N709" s="27" t="s">
        <v>66</v>
      </c>
      <c r="O709" s="28" t="s">
        <v>613</v>
      </c>
    </row>
    <row r="710" spans="1:15" ht="30" x14ac:dyDescent="0.25">
      <c r="A710">
        <v>9055</v>
      </c>
      <c r="B710" s="24">
        <v>3</v>
      </c>
      <c r="C710" s="29" t="s">
        <v>605</v>
      </c>
      <c r="D710">
        <v>2017</v>
      </c>
      <c r="E710" s="24">
        <v>5</v>
      </c>
      <c r="F710" s="25">
        <v>41.11</v>
      </c>
      <c r="G710" s="24">
        <v>18</v>
      </c>
      <c r="H710" s="26">
        <v>-29.429500000000001</v>
      </c>
      <c r="I710" s="25">
        <v>27.628499999999999</v>
      </c>
      <c r="J710" s="26" t="s">
        <v>1</v>
      </c>
      <c r="K710" s="24">
        <v>4.3</v>
      </c>
      <c r="L710" s="26"/>
      <c r="M710" s="26">
        <v>28</v>
      </c>
      <c r="N710" s="27" t="s">
        <v>614</v>
      </c>
      <c r="O710" s="28" t="s">
        <v>615</v>
      </c>
    </row>
    <row r="711" spans="1:15" ht="45" x14ac:dyDescent="0.25">
      <c r="A711">
        <v>9056</v>
      </c>
      <c r="B711" s="24">
        <v>3</v>
      </c>
      <c r="C711" s="29" t="s">
        <v>605</v>
      </c>
      <c r="D711">
        <v>2017</v>
      </c>
      <c r="E711" s="24">
        <v>11</v>
      </c>
      <c r="F711" s="25">
        <v>25.56</v>
      </c>
      <c r="G711" s="24">
        <v>18</v>
      </c>
      <c r="H711" s="26">
        <v>-22.576000000000001</v>
      </c>
      <c r="I711" s="25">
        <v>24.520399999999999</v>
      </c>
      <c r="J711" s="26" t="s">
        <v>1</v>
      </c>
      <c r="K711" s="24">
        <v>4.2</v>
      </c>
      <c r="L711" s="26">
        <v>4.8</v>
      </c>
      <c r="M711" s="26">
        <v>83</v>
      </c>
      <c r="N711" s="27" t="s">
        <v>66</v>
      </c>
      <c r="O711" s="28" t="s">
        <v>613</v>
      </c>
    </row>
    <row r="712" spans="1:15" ht="60" x14ac:dyDescent="0.25">
      <c r="A712">
        <v>9057</v>
      </c>
      <c r="B712" s="24">
        <v>3</v>
      </c>
      <c r="C712" s="29" t="s">
        <v>605</v>
      </c>
      <c r="D712">
        <v>2017</v>
      </c>
      <c r="E712" s="24">
        <v>16</v>
      </c>
      <c r="F712" s="25">
        <v>20.71</v>
      </c>
      <c r="G712" s="24">
        <v>23</v>
      </c>
      <c r="H712" s="26">
        <v>-22.4742</v>
      </c>
      <c r="I712" s="25">
        <v>25.7988</v>
      </c>
      <c r="J712" s="26" t="s">
        <v>1</v>
      </c>
      <c r="K712" s="24">
        <v>3.3</v>
      </c>
      <c r="L712" s="26">
        <v>3.8</v>
      </c>
      <c r="M712" s="26">
        <v>88</v>
      </c>
      <c r="N712" s="27" t="s">
        <v>66</v>
      </c>
      <c r="O712" s="28" t="s">
        <v>612</v>
      </c>
    </row>
    <row r="713" spans="1:15" ht="60" x14ac:dyDescent="0.25">
      <c r="A713">
        <v>9058</v>
      </c>
      <c r="B713" s="24">
        <v>4</v>
      </c>
      <c r="C713" s="29" t="s">
        <v>605</v>
      </c>
      <c r="D713">
        <v>2017</v>
      </c>
      <c r="E713" s="24">
        <v>23</v>
      </c>
      <c r="F713" s="25">
        <v>50.27</v>
      </c>
      <c r="G713" s="24">
        <v>4</v>
      </c>
      <c r="H713" s="26">
        <v>-12.046200000000001</v>
      </c>
      <c r="I713" s="25">
        <v>47.244399999999999</v>
      </c>
      <c r="J713" s="26" t="s">
        <v>1</v>
      </c>
      <c r="K713" s="24">
        <v>4.0999999999999996</v>
      </c>
      <c r="L713" s="26"/>
      <c r="M713" s="26">
        <v>43</v>
      </c>
      <c r="N713" s="27" t="s">
        <v>241</v>
      </c>
      <c r="O713" s="28" t="s">
        <v>284</v>
      </c>
    </row>
    <row r="714" spans="1:15" ht="30" x14ac:dyDescent="0.25">
      <c r="A714">
        <v>9059</v>
      </c>
      <c r="B714" s="24">
        <v>4</v>
      </c>
      <c r="C714" s="29" t="s">
        <v>605</v>
      </c>
      <c r="D714">
        <v>2017</v>
      </c>
      <c r="E714" s="24">
        <v>34</v>
      </c>
      <c r="F714" s="25">
        <v>56.2</v>
      </c>
      <c r="G714" s="24">
        <v>4</v>
      </c>
      <c r="H714" s="26">
        <v>33.079599999999999</v>
      </c>
      <c r="I714" s="25">
        <v>-2.2393000000000001</v>
      </c>
      <c r="J714" s="26" t="s">
        <v>1</v>
      </c>
      <c r="K714" s="24"/>
      <c r="L714" s="26">
        <v>3.6</v>
      </c>
      <c r="M714" s="26">
        <v>44</v>
      </c>
      <c r="N714" s="27" t="s">
        <v>28</v>
      </c>
      <c r="O714" s="28" t="s">
        <v>616</v>
      </c>
    </row>
    <row r="715" spans="1:15" ht="60" x14ac:dyDescent="0.25">
      <c r="A715">
        <v>9060</v>
      </c>
      <c r="B715" s="24">
        <v>4</v>
      </c>
      <c r="C715" s="29" t="s">
        <v>605</v>
      </c>
      <c r="D715">
        <v>2017</v>
      </c>
      <c r="E715" s="24">
        <v>10</v>
      </c>
      <c r="F715" s="25">
        <v>18.53</v>
      </c>
      <c r="G715" s="24">
        <v>5</v>
      </c>
      <c r="H715" s="26">
        <v>-23.686900000000001</v>
      </c>
      <c r="I715" s="25">
        <v>27.124099999999999</v>
      </c>
      <c r="J715" s="26" t="s">
        <v>1</v>
      </c>
      <c r="K715" s="24">
        <v>4.4000000000000004</v>
      </c>
      <c r="L715" s="26">
        <v>2.9</v>
      </c>
      <c r="M715" s="26">
        <v>97</v>
      </c>
      <c r="N715" s="27" t="s">
        <v>6</v>
      </c>
      <c r="O715" s="28" t="s">
        <v>458</v>
      </c>
    </row>
    <row r="716" spans="1:15" ht="60" x14ac:dyDescent="0.25">
      <c r="A716">
        <v>9061</v>
      </c>
      <c r="B716" s="24">
        <v>4</v>
      </c>
      <c r="C716" s="29" t="s">
        <v>605</v>
      </c>
      <c r="D716">
        <v>2017</v>
      </c>
      <c r="E716" s="24">
        <v>42</v>
      </c>
      <c r="F716" s="25">
        <v>9.11</v>
      </c>
      <c r="G716" s="24">
        <v>6</v>
      </c>
      <c r="H716" s="26">
        <v>-28.5381</v>
      </c>
      <c r="I716" s="25">
        <v>25.258800000000001</v>
      </c>
      <c r="J716" s="26" t="s">
        <v>1</v>
      </c>
      <c r="K716" s="24"/>
      <c r="L716" s="26"/>
      <c r="M716" s="26">
        <v>2</v>
      </c>
      <c r="N716" s="27" t="s">
        <v>6</v>
      </c>
      <c r="O716" s="28" t="s">
        <v>617</v>
      </c>
    </row>
    <row r="717" spans="1:15" ht="60" x14ac:dyDescent="0.25">
      <c r="A717">
        <v>9062</v>
      </c>
      <c r="B717" s="24">
        <v>4</v>
      </c>
      <c r="C717" s="29" t="s">
        <v>605</v>
      </c>
      <c r="D717">
        <v>2017</v>
      </c>
      <c r="E717" s="24">
        <v>28</v>
      </c>
      <c r="F717" s="25">
        <v>26.03</v>
      </c>
      <c r="G717" s="24">
        <v>9</v>
      </c>
      <c r="H717" s="26">
        <v>-30.785399999999999</v>
      </c>
      <c r="I717" s="25">
        <v>27.959199999999999</v>
      </c>
      <c r="J717" s="26" t="s">
        <v>1</v>
      </c>
      <c r="K717" s="24">
        <v>4.0999999999999996</v>
      </c>
      <c r="L717" s="26"/>
      <c r="M717" s="26">
        <v>40</v>
      </c>
      <c r="N717" s="27" t="s">
        <v>6</v>
      </c>
      <c r="O717" s="28" t="s">
        <v>618</v>
      </c>
    </row>
    <row r="718" spans="1:15" ht="45" x14ac:dyDescent="0.25">
      <c r="A718">
        <v>9063</v>
      </c>
      <c r="B718" s="24">
        <v>4</v>
      </c>
      <c r="C718" s="29" t="s">
        <v>605</v>
      </c>
      <c r="D718">
        <v>2017</v>
      </c>
      <c r="E718" s="24">
        <v>21</v>
      </c>
      <c r="F718" s="25">
        <v>17.809999999999999</v>
      </c>
      <c r="G718" s="24">
        <v>15</v>
      </c>
      <c r="H718" s="26">
        <v>-29.360700000000001</v>
      </c>
      <c r="I718" s="25">
        <v>28.259399999999999</v>
      </c>
      <c r="J718" s="26" t="s">
        <v>1</v>
      </c>
      <c r="K718" s="24">
        <v>4.4000000000000004</v>
      </c>
      <c r="L718" s="26">
        <v>3</v>
      </c>
      <c r="M718" s="26">
        <v>2</v>
      </c>
      <c r="N718" s="27" t="s">
        <v>614</v>
      </c>
      <c r="O718" s="28" t="s">
        <v>619</v>
      </c>
    </row>
    <row r="719" spans="1:15" ht="45" x14ac:dyDescent="0.25">
      <c r="A719">
        <v>9064</v>
      </c>
      <c r="B719" s="24">
        <v>4</v>
      </c>
      <c r="C719" s="29" t="s">
        <v>605</v>
      </c>
      <c r="D719">
        <v>2017</v>
      </c>
      <c r="E719" s="24">
        <v>53</v>
      </c>
      <c r="F719" s="25">
        <v>11.59</v>
      </c>
      <c r="G719" s="24">
        <v>18</v>
      </c>
      <c r="H719" s="26">
        <v>-22.744700000000002</v>
      </c>
      <c r="I719" s="25">
        <v>24.3416</v>
      </c>
      <c r="J719" s="26" t="s">
        <v>1</v>
      </c>
      <c r="K719" s="24">
        <v>3.8</v>
      </c>
      <c r="L719" s="26">
        <v>4.0999999999999996</v>
      </c>
      <c r="M719" s="26">
        <v>78</v>
      </c>
      <c r="N719" s="27" t="s">
        <v>66</v>
      </c>
      <c r="O719" s="28" t="s">
        <v>613</v>
      </c>
    </row>
    <row r="720" spans="1:15" ht="60" x14ac:dyDescent="0.25">
      <c r="A720">
        <v>9065</v>
      </c>
      <c r="B720" s="24">
        <v>4</v>
      </c>
      <c r="C720" s="29" t="s">
        <v>605</v>
      </c>
      <c r="D720">
        <v>2017</v>
      </c>
      <c r="E720" s="24">
        <v>28</v>
      </c>
      <c r="F720" s="25">
        <v>51.11</v>
      </c>
      <c r="G720" s="24">
        <v>19</v>
      </c>
      <c r="H720" s="26">
        <v>34.132199999999997</v>
      </c>
      <c r="I720" s="25">
        <v>5.8151000000000002</v>
      </c>
      <c r="J720" s="26" t="s">
        <v>1</v>
      </c>
      <c r="K720" s="24">
        <v>4</v>
      </c>
      <c r="L720" s="26"/>
      <c r="M720" s="26">
        <v>147</v>
      </c>
      <c r="N720" s="27" t="s">
        <v>620</v>
      </c>
      <c r="O720" s="28" t="s">
        <v>621</v>
      </c>
    </row>
    <row r="721" spans="1:15" ht="60" x14ac:dyDescent="0.25">
      <c r="A721">
        <v>9066</v>
      </c>
      <c r="B721" s="24">
        <v>4</v>
      </c>
      <c r="C721" s="29" t="s">
        <v>605</v>
      </c>
      <c r="D721">
        <v>2017</v>
      </c>
      <c r="E721" s="24">
        <v>41</v>
      </c>
      <c r="F721" s="25">
        <v>56.15</v>
      </c>
      <c r="G721" s="24">
        <v>19</v>
      </c>
      <c r="H721" s="26">
        <v>-22.596599999999999</v>
      </c>
      <c r="I721" s="25">
        <v>25.5883</v>
      </c>
      <c r="J721" s="26" t="s">
        <v>1</v>
      </c>
      <c r="K721" s="24">
        <v>3.9</v>
      </c>
      <c r="L721" s="26">
        <v>3.8</v>
      </c>
      <c r="M721" s="26">
        <v>86</v>
      </c>
      <c r="N721" s="27" t="s">
        <v>66</v>
      </c>
      <c r="O721" s="28" t="s">
        <v>612</v>
      </c>
    </row>
    <row r="722" spans="1:15" ht="60" x14ac:dyDescent="0.25">
      <c r="A722">
        <v>9067</v>
      </c>
      <c r="B722" s="24">
        <v>4</v>
      </c>
      <c r="C722" s="29" t="s">
        <v>605</v>
      </c>
      <c r="D722">
        <v>2017</v>
      </c>
      <c r="E722" s="24">
        <v>17</v>
      </c>
      <c r="F722" s="25">
        <v>21.71</v>
      </c>
      <c r="G722" s="24">
        <v>20</v>
      </c>
      <c r="H722" s="26">
        <v>-28.607900000000001</v>
      </c>
      <c r="I722" s="25">
        <v>25.534700000000001</v>
      </c>
      <c r="J722" s="26" t="s">
        <v>1</v>
      </c>
      <c r="K722" s="24">
        <v>3.8</v>
      </c>
      <c r="L722" s="26"/>
      <c r="M722" s="26">
        <v>92</v>
      </c>
      <c r="N722" s="27" t="s">
        <v>6</v>
      </c>
      <c r="O722" s="28" t="s">
        <v>68</v>
      </c>
    </row>
    <row r="723" spans="1:15" ht="60" x14ac:dyDescent="0.25">
      <c r="A723">
        <v>9068</v>
      </c>
      <c r="B723" s="24">
        <v>4</v>
      </c>
      <c r="C723" s="29" t="s">
        <v>605</v>
      </c>
      <c r="D723">
        <v>2017</v>
      </c>
      <c r="E723" s="24">
        <v>36</v>
      </c>
      <c r="F723" s="25">
        <v>19.41</v>
      </c>
      <c r="G723" s="24">
        <v>22</v>
      </c>
      <c r="H723" s="26">
        <v>-28.7104</v>
      </c>
      <c r="I723" s="25">
        <v>24.2882</v>
      </c>
      <c r="J723" s="26" t="s">
        <v>1</v>
      </c>
      <c r="K723" s="24">
        <v>4.3</v>
      </c>
      <c r="L723" s="26"/>
      <c r="M723" s="26">
        <v>5</v>
      </c>
      <c r="N723" s="27" t="s">
        <v>6</v>
      </c>
      <c r="O723" s="28" t="s">
        <v>53</v>
      </c>
    </row>
    <row r="724" spans="1:15" ht="45" x14ac:dyDescent="0.25">
      <c r="A724">
        <v>9069</v>
      </c>
      <c r="B724" s="24">
        <v>5</v>
      </c>
      <c r="C724" s="29" t="s">
        <v>605</v>
      </c>
      <c r="D724">
        <v>2017</v>
      </c>
      <c r="E724" s="24">
        <v>55</v>
      </c>
      <c r="F724" s="25">
        <v>55.95</v>
      </c>
      <c r="G724" s="24">
        <v>0</v>
      </c>
      <c r="H724" s="26">
        <v>-22.754000000000001</v>
      </c>
      <c r="I724" s="25">
        <v>25.0745</v>
      </c>
      <c r="J724" s="26" t="s">
        <v>1</v>
      </c>
      <c r="K724" s="24">
        <v>4.3</v>
      </c>
      <c r="L724" s="26">
        <v>4.8</v>
      </c>
      <c r="M724" s="26">
        <v>128</v>
      </c>
      <c r="N724" s="27" t="s">
        <v>66</v>
      </c>
      <c r="O724" s="28" t="s">
        <v>613</v>
      </c>
    </row>
    <row r="725" spans="1:15" ht="60" x14ac:dyDescent="0.25">
      <c r="A725">
        <v>9070</v>
      </c>
      <c r="B725" s="24">
        <v>5</v>
      </c>
      <c r="C725" s="29" t="s">
        <v>605</v>
      </c>
      <c r="D725">
        <v>2017</v>
      </c>
      <c r="E725" s="24">
        <v>49</v>
      </c>
      <c r="F725" s="25">
        <v>0.68</v>
      </c>
      <c r="G725" s="24">
        <v>2</v>
      </c>
      <c r="H725" s="26">
        <v>-22.511500000000002</v>
      </c>
      <c r="I725" s="25">
        <v>25.842300000000002</v>
      </c>
      <c r="J725" s="26" t="s">
        <v>1</v>
      </c>
      <c r="K725" s="24">
        <v>3.9</v>
      </c>
      <c r="L725" s="26">
        <v>3.7</v>
      </c>
      <c r="M725" s="26">
        <v>86</v>
      </c>
      <c r="N725" s="27" t="s">
        <v>66</v>
      </c>
      <c r="O725" s="28" t="s">
        <v>612</v>
      </c>
    </row>
    <row r="726" spans="1:15" ht="60" x14ac:dyDescent="0.25">
      <c r="A726">
        <v>9071</v>
      </c>
      <c r="B726" s="24">
        <v>5</v>
      </c>
      <c r="C726" s="29" t="s">
        <v>605</v>
      </c>
      <c r="D726">
        <v>2017</v>
      </c>
      <c r="E726" s="24">
        <v>15</v>
      </c>
      <c r="F726" s="25">
        <v>23.27</v>
      </c>
      <c r="G726" s="24">
        <v>16</v>
      </c>
      <c r="H726" s="26">
        <v>-26.7697</v>
      </c>
      <c r="I726" s="25">
        <v>30.270900000000001</v>
      </c>
      <c r="J726" s="26" t="s">
        <v>1</v>
      </c>
      <c r="K726" s="24">
        <v>4.2</v>
      </c>
      <c r="L726" s="26">
        <v>3.1</v>
      </c>
      <c r="M726" s="26">
        <v>172</v>
      </c>
      <c r="N726" s="27" t="s">
        <v>6</v>
      </c>
      <c r="O726" s="28" t="s">
        <v>622</v>
      </c>
    </row>
    <row r="727" spans="1:15" ht="45" x14ac:dyDescent="0.25">
      <c r="A727">
        <v>9072</v>
      </c>
      <c r="B727" s="24">
        <v>5</v>
      </c>
      <c r="C727" s="29" t="s">
        <v>605</v>
      </c>
      <c r="D727">
        <v>2017</v>
      </c>
      <c r="E727" s="24">
        <v>36</v>
      </c>
      <c r="F727" s="25">
        <v>5.34</v>
      </c>
      <c r="G727" s="24">
        <v>22</v>
      </c>
      <c r="H727" s="26">
        <v>31.502600000000001</v>
      </c>
      <c r="I727" s="25">
        <v>15.337400000000001</v>
      </c>
      <c r="J727" s="26" t="s">
        <v>1</v>
      </c>
      <c r="K727" s="24"/>
      <c r="L727" s="26">
        <v>3.1</v>
      </c>
      <c r="M727" s="26">
        <v>38</v>
      </c>
      <c r="N727" s="27" t="s">
        <v>135</v>
      </c>
      <c r="O727" s="28" t="s">
        <v>623</v>
      </c>
    </row>
    <row r="728" spans="1:15" ht="45" x14ac:dyDescent="0.25">
      <c r="A728">
        <v>9073</v>
      </c>
      <c r="B728" s="8">
        <v>5</v>
      </c>
      <c r="C728" s="21" t="s">
        <v>605</v>
      </c>
      <c r="D728">
        <v>2017</v>
      </c>
      <c r="E728" s="8">
        <v>36</v>
      </c>
      <c r="F728" s="9">
        <v>32.81</v>
      </c>
      <c r="G728" s="8">
        <v>22</v>
      </c>
      <c r="H728" s="11">
        <v>16.069600000000001</v>
      </c>
      <c r="I728" s="9">
        <v>-16.4026</v>
      </c>
      <c r="J728" s="11" t="s">
        <v>1</v>
      </c>
      <c r="K728" s="8">
        <v>4</v>
      </c>
      <c r="L728" s="11"/>
      <c r="M728" s="11">
        <v>107</v>
      </c>
      <c r="N728" s="12" t="s">
        <v>15</v>
      </c>
      <c r="O728" s="13" t="s">
        <v>624</v>
      </c>
    </row>
    <row r="729" spans="1:15" ht="45" x14ac:dyDescent="0.25">
      <c r="A729">
        <v>9074</v>
      </c>
      <c r="B729" s="24">
        <v>6</v>
      </c>
      <c r="C729" s="29" t="s">
        <v>605</v>
      </c>
      <c r="D729">
        <v>2017</v>
      </c>
      <c r="E729" s="24">
        <v>30</v>
      </c>
      <c r="F729" s="25">
        <v>19.670000000000002</v>
      </c>
      <c r="G729" s="24">
        <v>2</v>
      </c>
      <c r="H729" s="26">
        <v>-22.888000000000002</v>
      </c>
      <c r="I729" s="25">
        <v>24.807600000000001</v>
      </c>
      <c r="J729" s="26" t="s">
        <v>1</v>
      </c>
      <c r="K729" s="24">
        <v>3.7</v>
      </c>
      <c r="L729" s="26">
        <v>4</v>
      </c>
      <c r="M729" s="26">
        <v>79</v>
      </c>
      <c r="N729" s="27" t="s">
        <v>66</v>
      </c>
      <c r="O729" s="28" t="s">
        <v>613</v>
      </c>
    </row>
    <row r="730" spans="1:15" ht="60" x14ac:dyDescent="0.25">
      <c r="A730">
        <v>9075</v>
      </c>
      <c r="B730" s="24">
        <v>6</v>
      </c>
      <c r="C730" s="29" t="s">
        <v>605</v>
      </c>
      <c r="D730">
        <v>2017</v>
      </c>
      <c r="E730" s="24">
        <v>27</v>
      </c>
      <c r="F730" s="25">
        <v>15.86</v>
      </c>
      <c r="G730" s="24">
        <v>5</v>
      </c>
      <c r="H730" s="26">
        <v>-27.978100000000001</v>
      </c>
      <c r="I730" s="25">
        <v>25.360299999999999</v>
      </c>
      <c r="J730" s="26" t="s">
        <v>1</v>
      </c>
      <c r="K730" s="24">
        <v>4.0999999999999996</v>
      </c>
      <c r="L730" s="26"/>
      <c r="M730" s="26">
        <v>79</v>
      </c>
      <c r="N730" s="27" t="s">
        <v>6</v>
      </c>
      <c r="O730" s="28" t="s">
        <v>68</v>
      </c>
    </row>
    <row r="731" spans="1:15" ht="60" x14ac:dyDescent="0.25">
      <c r="A731">
        <v>9076</v>
      </c>
      <c r="B731" s="24">
        <v>6</v>
      </c>
      <c r="C731" s="29" t="s">
        <v>605</v>
      </c>
      <c r="D731">
        <v>2017</v>
      </c>
      <c r="E731" s="24">
        <v>51</v>
      </c>
      <c r="F731" s="25">
        <v>14.9</v>
      </c>
      <c r="G731" s="24">
        <v>17</v>
      </c>
      <c r="H731" s="26">
        <v>-29.947399999999998</v>
      </c>
      <c r="I731" s="25">
        <v>24.674299999999999</v>
      </c>
      <c r="J731" s="26" t="s">
        <v>1</v>
      </c>
      <c r="K731" s="24">
        <v>3.8</v>
      </c>
      <c r="L731" s="26"/>
      <c r="M731" s="26">
        <v>121</v>
      </c>
      <c r="N731" s="27" t="s">
        <v>6</v>
      </c>
      <c r="O731" s="28" t="s">
        <v>236</v>
      </c>
    </row>
    <row r="732" spans="1:15" ht="30" x14ac:dyDescent="0.25">
      <c r="A732">
        <v>9077</v>
      </c>
      <c r="B732" s="24">
        <v>6</v>
      </c>
      <c r="C732" s="29" t="s">
        <v>605</v>
      </c>
      <c r="D732">
        <v>2017</v>
      </c>
      <c r="E732" s="24">
        <v>41</v>
      </c>
      <c r="F732" s="25">
        <v>21.64</v>
      </c>
      <c r="G732" s="24">
        <v>21</v>
      </c>
      <c r="H732" s="26">
        <v>34.648600000000002</v>
      </c>
      <c r="I732" s="25">
        <v>10.506399999999999</v>
      </c>
      <c r="J732" s="26" t="s">
        <v>1</v>
      </c>
      <c r="K732" s="24">
        <v>3.9</v>
      </c>
      <c r="L732" s="26"/>
      <c r="M732" s="26">
        <v>49</v>
      </c>
      <c r="N732" s="27" t="s">
        <v>2</v>
      </c>
      <c r="O732" s="28" t="s">
        <v>625</v>
      </c>
    </row>
    <row r="733" spans="1:15" ht="75" x14ac:dyDescent="0.25">
      <c r="A733">
        <v>9078</v>
      </c>
      <c r="B733" s="8">
        <v>7</v>
      </c>
      <c r="C733" s="21" t="s">
        <v>605</v>
      </c>
      <c r="D733">
        <v>2017</v>
      </c>
      <c r="E733" s="8">
        <v>17</v>
      </c>
      <c r="F733" s="9">
        <v>18.71</v>
      </c>
      <c r="G733" s="8">
        <v>12</v>
      </c>
      <c r="H733" s="11">
        <v>24.012799999999999</v>
      </c>
      <c r="I733" s="9">
        <v>-16.522400000000001</v>
      </c>
      <c r="J733" s="11" t="s">
        <v>1</v>
      </c>
      <c r="K733" s="8">
        <v>3.4</v>
      </c>
      <c r="L733" s="11"/>
      <c r="M733" s="11">
        <v>38</v>
      </c>
      <c r="N733" s="12" t="s">
        <v>15</v>
      </c>
      <c r="O733" s="13" t="s">
        <v>626</v>
      </c>
    </row>
    <row r="734" spans="1:15" ht="45" x14ac:dyDescent="0.25">
      <c r="A734">
        <v>9079</v>
      </c>
      <c r="B734" s="8">
        <v>7</v>
      </c>
      <c r="C734" s="21" t="s">
        <v>605</v>
      </c>
      <c r="D734">
        <v>2017</v>
      </c>
      <c r="E734" s="8">
        <v>49</v>
      </c>
      <c r="F734" s="9">
        <v>53.78</v>
      </c>
      <c r="G734" s="8">
        <v>16</v>
      </c>
      <c r="H734" s="10">
        <v>13.167299999999999</v>
      </c>
      <c r="I734" s="51">
        <v>3.1254</v>
      </c>
      <c r="J734" s="11" t="s">
        <v>1</v>
      </c>
      <c r="K734" s="8">
        <v>3.5</v>
      </c>
      <c r="L734" s="11"/>
      <c r="M734" s="11">
        <v>22</v>
      </c>
      <c r="N734" s="12" t="s">
        <v>15</v>
      </c>
      <c r="O734" s="13" t="s">
        <v>627</v>
      </c>
    </row>
    <row r="735" spans="1:15" ht="45" x14ac:dyDescent="0.25">
      <c r="A735">
        <v>9080</v>
      </c>
      <c r="B735" s="14">
        <v>8</v>
      </c>
      <c r="C735" s="30" t="s">
        <v>605</v>
      </c>
      <c r="D735">
        <v>2017</v>
      </c>
      <c r="E735" s="14">
        <v>54</v>
      </c>
      <c r="F735" s="15">
        <v>7.58</v>
      </c>
      <c r="G735" s="14">
        <v>17</v>
      </c>
      <c r="H735" s="16">
        <v>8.4957999999999991</v>
      </c>
      <c r="I735" s="52">
        <v>-2.3167</v>
      </c>
      <c r="J735" s="17" t="s">
        <v>1</v>
      </c>
      <c r="K735" s="14">
        <v>3.9</v>
      </c>
      <c r="L735" s="17">
        <v>2.5</v>
      </c>
      <c r="M735" s="17">
        <v>125</v>
      </c>
      <c r="N735" s="18" t="s">
        <v>15</v>
      </c>
      <c r="O735" s="19" t="s">
        <v>628</v>
      </c>
    </row>
    <row r="736" spans="1:15" ht="60" x14ac:dyDescent="0.25">
      <c r="A736">
        <v>9081</v>
      </c>
      <c r="B736" s="24">
        <v>8</v>
      </c>
      <c r="C736" s="29" t="s">
        <v>605</v>
      </c>
      <c r="D736">
        <v>2017</v>
      </c>
      <c r="E736" s="24">
        <v>55</v>
      </c>
      <c r="F736" s="25">
        <v>33.119999999999997</v>
      </c>
      <c r="G736" s="24">
        <v>19</v>
      </c>
      <c r="H736" s="26">
        <v>-22.389600000000002</v>
      </c>
      <c r="I736" s="53">
        <v>25.168199999999999</v>
      </c>
      <c r="J736" s="26" t="s">
        <v>1</v>
      </c>
      <c r="K736" s="24">
        <v>4.3</v>
      </c>
      <c r="L736" s="26">
        <v>4.5999999999999996</v>
      </c>
      <c r="M736" s="26">
        <v>10.199999999999999</v>
      </c>
      <c r="N736" s="54" t="s">
        <v>629</v>
      </c>
      <c r="O736" s="28" t="s">
        <v>612</v>
      </c>
    </row>
    <row r="737" spans="1:15" ht="45" x14ac:dyDescent="0.25">
      <c r="A737">
        <v>9082</v>
      </c>
      <c r="B737" s="8">
        <v>9</v>
      </c>
      <c r="C737" s="21" t="s">
        <v>605</v>
      </c>
      <c r="D737">
        <v>2017</v>
      </c>
      <c r="E737" s="8">
        <v>31</v>
      </c>
      <c r="F737" s="9">
        <v>47.63</v>
      </c>
      <c r="G737" s="8">
        <v>0</v>
      </c>
      <c r="H737" s="10">
        <v>6.6506999999999996</v>
      </c>
      <c r="I737" s="51">
        <v>-4.944</v>
      </c>
      <c r="J737" s="11" t="s">
        <v>1</v>
      </c>
      <c r="K737" s="8">
        <v>4</v>
      </c>
      <c r="L737" s="11"/>
      <c r="M737" s="11">
        <v>78</v>
      </c>
      <c r="N737" s="12" t="s">
        <v>15</v>
      </c>
      <c r="O737" s="13" t="s">
        <v>503</v>
      </c>
    </row>
    <row r="738" spans="1:15" ht="45" x14ac:dyDescent="0.25">
      <c r="A738">
        <v>9083</v>
      </c>
      <c r="B738" s="14">
        <v>9</v>
      </c>
      <c r="C738" s="30" t="s">
        <v>605</v>
      </c>
      <c r="D738">
        <v>2017</v>
      </c>
      <c r="E738" s="14">
        <v>20</v>
      </c>
      <c r="F738" s="15">
        <v>52.1</v>
      </c>
      <c r="G738" s="14">
        <v>2</v>
      </c>
      <c r="H738" s="16">
        <v>6.0235000000000003</v>
      </c>
      <c r="I738" s="52">
        <v>-2.4449000000000001</v>
      </c>
      <c r="J738" s="17" t="s">
        <v>1</v>
      </c>
      <c r="K738" s="14">
        <v>3.7</v>
      </c>
      <c r="L738" s="17"/>
      <c r="M738" s="17">
        <v>165</v>
      </c>
      <c r="N738" s="18" t="s">
        <v>15</v>
      </c>
      <c r="O738" s="19" t="s">
        <v>630</v>
      </c>
    </row>
    <row r="739" spans="1:15" ht="45" x14ac:dyDescent="0.25">
      <c r="A739">
        <v>9084</v>
      </c>
      <c r="B739" s="8">
        <v>9</v>
      </c>
      <c r="C739" s="21" t="s">
        <v>605</v>
      </c>
      <c r="D739">
        <v>2017</v>
      </c>
      <c r="E739" s="8">
        <v>51</v>
      </c>
      <c r="F739" s="9">
        <v>4.5999999999999996</v>
      </c>
      <c r="G739" s="8">
        <v>3</v>
      </c>
      <c r="H739" s="10">
        <v>6.7668999999999997</v>
      </c>
      <c r="I739" s="55">
        <v>-4.5285000000000002</v>
      </c>
      <c r="J739" s="11" t="s">
        <v>1</v>
      </c>
      <c r="K739" s="8">
        <v>4.2</v>
      </c>
      <c r="L739" s="11"/>
      <c r="M739" s="11">
        <v>75</v>
      </c>
      <c r="N739" s="12" t="s">
        <v>15</v>
      </c>
      <c r="O739" s="13" t="s">
        <v>631</v>
      </c>
    </row>
    <row r="740" spans="1:15" ht="60" x14ac:dyDescent="0.25">
      <c r="A740">
        <v>9085</v>
      </c>
      <c r="B740" s="24">
        <v>9</v>
      </c>
      <c r="C740" s="29" t="s">
        <v>605</v>
      </c>
      <c r="D740">
        <v>2017</v>
      </c>
      <c r="E740" s="24">
        <v>12</v>
      </c>
      <c r="F740" s="25">
        <v>0.77</v>
      </c>
      <c r="G740" s="24">
        <v>4</v>
      </c>
      <c r="H740" s="26">
        <v>-28.678599999999999</v>
      </c>
      <c r="I740" s="25">
        <v>25.734000000000002</v>
      </c>
      <c r="J740" s="26" t="s">
        <v>1</v>
      </c>
      <c r="K740" s="24"/>
      <c r="L740" s="26"/>
      <c r="M740" s="26">
        <v>100</v>
      </c>
      <c r="N740" s="27" t="s">
        <v>6</v>
      </c>
      <c r="O740" s="28" t="s">
        <v>68</v>
      </c>
    </row>
    <row r="741" spans="1:15" ht="45" x14ac:dyDescent="0.25">
      <c r="A741">
        <v>9086</v>
      </c>
      <c r="B741" s="24">
        <v>10</v>
      </c>
      <c r="C741" s="29" t="s">
        <v>605</v>
      </c>
      <c r="D741">
        <v>2017</v>
      </c>
      <c r="E741" s="24">
        <v>26</v>
      </c>
      <c r="F741" s="25">
        <v>0.94</v>
      </c>
      <c r="G741" s="24">
        <v>11</v>
      </c>
      <c r="H741" s="26">
        <v>32.017600000000002</v>
      </c>
      <c r="I741" s="25">
        <v>14.6989</v>
      </c>
      <c r="J741" s="26" t="s">
        <v>1</v>
      </c>
      <c r="K741" s="24">
        <v>3.3</v>
      </c>
      <c r="L741" s="26">
        <v>2.8</v>
      </c>
      <c r="M741" s="26">
        <v>96</v>
      </c>
      <c r="N741" s="27" t="s">
        <v>135</v>
      </c>
      <c r="O741" s="28" t="s">
        <v>623</v>
      </c>
    </row>
    <row r="742" spans="1:15" ht="45" x14ac:dyDescent="0.25">
      <c r="A742">
        <v>9087</v>
      </c>
      <c r="B742" s="8">
        <v>10</v>
      </c>
      <c r="C742" s="21" t="s">
        <v>605</v>
      </c>
      <c r="D742">
        <v>2017</v>
      </c>
      <c r="E742" s="8">
        <v>27</v>
      </c>
      <c r="F742" s="9">
        <v>37.26</v>
      </c>
      <c r="G742" s="8">
        <v>14</v>
      </c>
      <c r="H742" s="11">
        <v>5.6223000000000001</v>
      </c>
      <c r="I742" s="9">
        <v>-5.8288000000000002</v>
      </c>
      <c r="J742" s="11" t="s">
        <v>1</v>
      </c>
      <c r="K742" s="8">
        <v>4</v>
      </c>
      <c r="L742" s="11"/>
      <c r="M742" s="11">
        <v>134</v>
      </c>
      <c r="N742" s="12" t="s">
        <v>15</v>
      </c>
      <c r="O742" s="13" t="s">
        <v>632</v>
      </c>
    </row>
    <row r="743" spans="1:15" ht="45" x14ac:dyDescent="0.25">
      <c r="A743">
        <v>9088</v>
      </c>
      <c r="B743" s="8">
        <v>11</v>
      </c>
      <c r="C743" s="21" t="s">
        <v>605</v>
      </c>
      <c r="D743">
        <v>2017</v>
      </c>
      <c r="E743" s="8">
        <v>58</v>
      </c>
      <c r="F743" s="9">
        <v>36.090000000000003</v>
      </c>
      <c r="G743" s="8">
        <v>0</v>
      </c>
      <c r="H743" s="11">
        <v>21.571999999999999</v>
      </c>
      <c r="I743" s="9">
        <v>-10.906499999999999</v>
      </c>
      <c r="J743" s="11" t="s">
        <v>1</v>
      </c>
      <c r="K743" s="8">
        <v>3.4</v>
      </c>
      <c r="L743" s="11"/>
      <c r="M743" s="11">
        <v>137</v>
      </c>
      <c r="N743" s="12" t="s">
        <v>15</v>
      </c>
      <c r="O743" s="13" t="s">
        <v>172</v>
      </c>
    </row>
    <row r="744" spans="1:15" ht="60" x14ac:dyDescent="0.25">
      <c r="A744">
        <v>9089</v>
      </c>
      <c r="B744" s="24">
        <v>12</v>
      </c>
      <c r="C744" s="29" t="s">
        <v>605</v>
      </c>
      <c r="D744">
        <v>2017</v>
      </c>
      <c r="E744" s="24">
        <v>11</v>
      </c>
      <c r="F744" s="25">
        <v>22.66</v>
      </c>
      <c r="G744" s="24">
        <v>5</v>
      </c>
      <c r="H744" s="26">
        <v>-28.482399999999998</v>
      </c>
      <c r="I744" s="25">
        <v>25.371300000000002</v>
      </c>
      <c r="J744" s="26" t="s">
        <v>1</v>
      </c>
      <c r="K744" s="24"/>
      <c r="L744" s="26"/>
      <c r="M744" s="26">
        <v>38</v>
      </c>
      <c r="N744" s="27" t="s">
        <v>6</v>
      </c>
      <c r="O744" s="28" t="s">
        <v>68</v>
      </c>
    </row>
    <row r="745" spans="1:15" ht="60" x14ac:dyDescent="0.25">
      <c r="A745">
        <v>9090</v>
      </c>
      <c r="B745" s="8">
        <v>12</v>
      </c>
      <c r="C745" s="21" t="s">
        <v>605</v>
      </c>
      <c r="D745">
        <v>2017</v>
      </c>
      <c r="E745" s="8">
        <v>36</v>
      </c>
      <c r="F745" s="9">
        <v>6.38</v>
      </c>
      <c r="G745" s="8">
        <v>6</v>
      </c>
      <c r="H745" s="11">
        <v>10.539899999999999</v>
      </c>
      <c r="I745" s="9">
        <v>-12.054500000000001</v>
      </c>
      <c r="J745" s="11" t="s">
        <v>1</v>
      </c>
      <c r="K745" s="8"/>
      <c r="L745" s="11">
        <v>3.7</v>
      </c>
      <c r="M745" s="11">
        <v>11</v>
      </c>
      <c r="N745" s="12" t="s">
        <v>15</v>
      </c>
      <c r="O745" s="13" t="s">
        <v>633</v>
      </c>
    </row>
    <row r="746" spans="1:15" ht="45" x14ac:dyDescent="0.25">
      <c r="A746">
        <v>9091</v>
      </c>
      <c r="B746" s="8">
        <v>12</v>
      </c>
      <c r="C746" s="21" t="s">
        <v>605</v>
      </c>
      <c r="D746">
        <v>2017</v>
      </c>
      <c r="E746" s="8">
        <v>37</v>
      </c>
      <c r="F746" s="9">
        <v>9.2899999999999991</v>
      </c>
      <c r="G746" s="8">
        <v>8</v>
      </c>
      <c r="H746" s="11">
        <v>9.1754999999999995</v>
      </c>
      <c r="I746" s="9">
        <v>-7.7329999999999997</v>
      </c>
      <c r="J746" s="11" t="s">
        <v>1</v>
      </c>
      <c r="K746" s="8">
        <v>3.5</v>
      </c>
      <c r="L746" s="11">
        <v>3.3</v>
      </c>
      <c r="M746" s="11">
        <v>40</v>
      </c>
      <c r="N746" s="12" t="s">
        <v>15</v>
      </c>
      <c r="O746" s="13" t="s">
        <v>634</v>
      </c>
    </row>
    <row r="747" spans="1:15" ht="45" x14ac:dyDescent="0.25">
      <c r="A747">
        <v>9092</v>
      </c>
      <c r="B747" s="8">
        <v>13</v>
      </c>
      <c r="C747" s="21" t="s">
        <v>605</v>
      </c>
      <c r="D747">
        <v>2017</v>
      </c>
      <c r="E747" s="8">
        <v>36</v>
      </c>
      <c r="F747" s="9">
        <v>33.21</v>
      </c>
      <c r="G747" s="8">
        <v>1</v>
      </c>
      <c r="H747" s="11">
        <v>12.2568</v>
      </c>
      <c r="I747" s="9">
        <v>-15.000400000000001</v>
      </c>
      <c r="J747" s="11" t="s">
        <v>1</v>
      </c>
      <c r="K747" s="8">
        <v>4.0999999999999996</v>
      </c>
      <c r="L747" s="11"/>
      <c r="M747" s="11">
        <v>121</v>
      </c>
      <c r="N747" s="12" t="s">
        <v>15</v>
      </c>
      <c r="O747" s="13" t="s">
        <v>635</v>
      </c>
    </row>
    <row r="748" spans="1:15" ht="45" x14ac:dyDescent="0.25">
      <c r="A748">
        <v>9093</v>
      </c>
      <c r="B748" s="24">
        <v>13</v>
      </c>
      <c r="C748" s="29" t="s">
        <v>605</v>
      </c>
      <c r="D748">
        <v>2017</v>
      </c>
      <c r="E748" s="24">
        <v>3</v>
      </c>
      <c r="F748" s="25">
        <v>53.86</v>
      </c>
      <c r="G748" s="24">
        <v>3</v>
      </c>
      <c r="H748" s="26">
        <v>23.733000000000001</v>
      </c>
      <c r="I748" s="25">
        <v>5.1825000000000001</v>
      </c>
      <c r="J748" s="26" t="s">
        <v>1</v>
      </c>
      <c r="K748" s="24">
        <v>3.8</v>
      </c>
      <c r="L748" s="26">
        <v>3.5</v>
      </c>
      <c r="M748" s="26">
        <v>13</v>
      </c>
      <c r="N748" s="27" t="s">
        <v>110</v>
      </c>
      <c r="O748" s="28" t="s">
        <v>555</v>
      </c>
    </row>
    <row r="749" spans="1:15" ht="60" x14ac:dyDescent="0.25">
      <c r="A749">
        <v>9094</v>
      </c>
      <c r="B749" s="24">
        <v>13</v>
      </c>
      <c r="C749" s="29" t="s">
        <v>605</v>
      </c>
      <c r="D749">
        <v>2017</v>
      </c>
      <c r="E749" s="24">
        <v>31</v>
      </c>
      <c r="F749" s="25">
        <v>12.63</v>
      </c>
      <c r="G749" s="24">
        <v>13</v>
      </c>
      <c r="H749" s="26">
        <v>-27.402799999999999</v>
      </c>
      <c r="I749" s="25">
        <v>22.4757</v>
      </c>
      <c r="J749" s="26" t="s">
        <v>1</v>
      </c>
      <c r="K749" s="24"/>
      <c r="L749" s="26"/>
      <c r="M749" s="26">
        <v>30</v>
      </c>
      <c r="N749" s="27" t="s">
        <v>6</v>
      </c>
      <c r="O749" s="28" t="s">
        <v>239</v>
      </c>
    </row>
    <row r="750" spans="1:15" ht="45" x14ac:dyDescent="0.25">
      <c r="A750">
        <v>9095</v>
      </c>
      <c r="B750" s="8">
        <v>13</v>
      </c>
      <c r="C750" s="21" t="s">
        <v>605</v>
      </c>
      <c r="D750">
        <v>2017</v>
      </c>
      <c r="E750" s="8">
        <v>51</v>
      </c>
      <c r="F750" s="9">
        <v>16.09</v>
      </c>
      <c r="G750" s="8">
        <v>23</v>
      </c>
      <c r="H750" s="11">
        <v>6.6669</v>
      </c>
      <c r="I750" s="9">
        <v>-4.8499999999999996</v>
      </c>
      <c r="J750" s="11" t="s">
        <v>1</v>
      </c>
      <c r="K750" s="8">
        <v>3.6</v>
      </c>
      <c r="L750" s="11"/>
      <c r="M750" s="11">
        <v>117</v>
      </c>
      <c r="N750" s="12" t="s">
        <v>15</v>
      </c>
      <c r="O750" s="13" t="s">
        <v>531</v>
      </c>
    </row>
    <row r="751" spans="1:15" ht="45" x14ac:dyDescent="0.25">
      <c r="A751">
        <v>9096</v>
      </c>
      <c r="B751" s="8">
        <v>14</v>
      </c>
      <c r="C751" s="21" t="s">
        <v>605</v>
      </c>
      <c r="D751">
        <v>2017</v>
      </c>
      <c r="E751" s="8">
        <v>0</v>
      </c>
      <c r="F751" s="9">
        <v>18.27</v>
      </c>
      <c r="G751" s="8">
        <v>7</v>
      </c>
      <c r="H751" s="11">
        <v>6.6571999999999996</v>
      </c>
      <c r="I751" s="9">
        <v>-6.1498999999999997</v>
      </c>
      <c r="J751" s="11" t="s">
        <v>1</v>
      </c>
      <c r="K751" s="8">
        <v>3.5</v>
      </c>
      <c r="L751" s="11">
        <v>3.5</v>
      </c>
      <c r="M751" s="11">
        <v>3</v>
      </c>
      <c r="N751" s="12" t="s">
        <v>15</v>
      </c>
      <c r="O751" s="13" t="s">
        <v>506</v>
      </c>
    </row>
    <row r="752" spans="1:15" ht="45" x14ac:dyDescent="0.25">
      <c r="A752">
        <v>9097</v>
      </c>
      <c r="B752" s="8">
        <v>15</v>
      </c>
      <c r="C752" s="21" t="s">
        <v>605</v>
      </c>
      <c r="D752">
        <v>2017</v>
      </c>
      <c r="E752" s="8">
        <v>7</v>
      </c>
      <c r="F752" s="9">
        <v>53.36</v>
      </c>
      <c r="G752" s="8">
        <v>2</v>
      </c>
      <c r="H752" s="11">
        <v>19.3748</v>
      </c>
      <c r="I752" s="9">
        <v>-2.3986999999999998</v>
      </c>
      <c r="J752" s="11" t="s">
        <v>1</v>
      </c>
      <c r="K752" s="8">
        <v>3.9</v>
      </c>
      <c r="L752" s="11">
        <v>3.2</v>
      </c>
      <c r="M752" s="11">
        <v>99</v>
      </c>
      <c r="N752" s="12" t="s">
        <v>15</v>
      </c>
      <c r="O752" s="13" t="s">
        <v>203</v>
      </c>
    </row>
    <row r="753" spans="1:15" ht="45" x14ac:dyDescent="0.25">
      <c r="A753">
        <v>9098</v>
      </c>
      <c r="B753" s="8">
        <v>15</v>
      </c>
      <c r="C753" s="21" t="s">
        <v>605</v>
      </c>
      <c r="D753">
        <v>2017</v>
      </c>
      <c r="E753" s="8">
        <v>30</v>
      </c>
      <c r="F753" s="9">
        <v>6.82</v>
      </c>
      <c r="G753" s="8">
        <v>8</v>
      </c>
      <c r="H753" s="11">
        <v>5.7492999999999999</v>
      </c>
      <c r="I753" s="9">
        <v>-3.4214000000000002</v>
      </c>
      <c r="J753" s="11" t="s">
        <v>1</v>
      </c>
      <c r="K753" s="8">
        <v>4.4000000000000004</v>
      </c>
      <c r="L753" s="11"/>
      <c r="M753" s="11">
        <v>5</v>
      </c>
      <c r="N753" s="12" t="s">
        <v>15</v>
      </c>
      <c r="O753" s="13" t="s">
        <v>636</v>
      </c>
    </row>
    <row r="754" spans="1:15" ht="60" x14ac:dyDescent="0.25">
      <c r="A754">
        <v>9099</v>
      </c>
      <c r="B754" s="8">
        <v>16</v>
      </c>
      <c r="C754" s="21" t="s">
        <v>605</v>
      </c>
      <c r="D754">
        <v>2017</v>
      </c>
      <c r="E754" s="8">
        <v>38</v>
      </c>
      <c r="F754" s="9">
        <v>18.59</v>
      </c>
      <c r="G754" s="8">
        <v>2</v>
      </c>
      <c r="H754" s="11">
        <v>28.4985</v>
      </c>
      <c r="I754" s="9">
        <v>11.9953</v>
      </c>
      <c r="J754" s="11" t="s">
        <v>1</v>
      </c>
      <c r="K754" s="8">
        <v>4.2</v>
      </c>
      <c r="L754" s="11">
        <v>3.3</v>
      </c>
      <c r="M754" s="11">
        <v>104</v>
      </c>
      <c r="N754" s="12" t="s">
        <v>15</v>
      </c>
      <c r="O754" s="13" t="s">
        <v>611</v>
      </c>
    </row>
    <row r="755" spans="1:15" ht="45" x14ac:dyDescent="0.25">
      <c r="A755">
        <v>9100</v>
      </c>
      <c r="B755" s="24">
        <v>16</v>
      </c>
      <c r="C755" s="29" t="s">
        <v>605</v>
      </c>
      <c r="D755">
        <v>2017</v>
      </c>
      <c r="E755" s="24">
        <v>51</v>
      </c>
      <c r="F755" s="25">
        <v>55.98</v>
      </c>
      <c r="G755" s="24">
        <v>2</v>
      </c>
      <c r="H755" s="26">
        <v>26.288900000000002</v>
      </c>
      <c r="I755" s="25">
        <v>8.2314000000000007</v>
      </c>
      <c r="J755" s="26" t="s">
        <v>1</v>
      </c>
      <c r="K755" s="24">
        <v>3.6</v>
      </c>
      <c r="L755" s="26">
        <v>2.9</v>
      </c>
      <c r="M755" s="26">
        <v>116</v>
      </c>
      <c r="N755" s="27" t="s">
        <v>110</v>
      </c>
      <c r="O755" s="28" t="s">
        <v>637</v>
      </c>
    </row>
    <row r="756" spans="1:15" ht="60" x14ac:dyDescent="0.25">
      <c r="A756">
        <v>9101</v>
      </c>
      <c r="B756" s="8">
        <v>16</v>
      </c>
      <c r="C756" s="21" t="s">
        <v>605</v>
      </c>
      <c r="D756">
        <v>2017</v>
      </c>
      <c r="E756" s="8">
        <v>0</v>
      </c>
      <c r="F756" s="9">
        <v>13.55</v>
      </c>
      <c r="G756" s="8">
        <v>3</v>
      </c>
      <c r="H756" s="11">
        <v>12.738</v>
      </c>
      <c r="I756" s="9">
        <v>0.28270000000000001</v>
      </c>
      <c r="J756" s="11" t="s">
        <v>1</v>
      </c>
      <c r="K756" s="8">
        <v>3.8</v>
      </c>
      <c r="L756" s="11"/>
      <c r="M756" s="11">
        <v>157</v>
      </c>
      <c r="N756" s="12" t="s">
        <v>15</v>
      </c>
      <c r="O756" s="13" t="s">
        <v>638</v>
      </c>
    </row>
    <row r="757" spans="1:15" ht="45" x14ac:dyDescent="0.25">
      <c r="A757">
        <v>9102</v>
      </c>
      <c r="B757" s="8">
        <v>16</v>
      </c>
      <c r="C757" s="21" t="s">
        <v>605</v>
      </c>
      <c r="D757">
        <v>2017</v>
      </c>
      <c r="E757" s="8">
        <v>15</v>
      </c>
      <c r="F757" s="9">
        <v>46.99</v>
      </c>
      <c r="G757" s="8">
        <v>18</v>
      </c>
      <c r="H757" s="11">
        <v>13.9162</v>
      </c>
      <c r="I757" s="9">
        <v>3.3780999999999999</v>
      </c>
      <c r="J757" s="11" t="s">
        <v>1</v>
      </c>
      <c r="K757" s="8">
        <v>4.0999999999999996</v>
      </c>
      <c r="L757" s="11">
        <v>3.3</v>
      </c>
      <c r="M757" s="11">
        <v>133</v>
      </c>
      <c r="N757" s="12" t="s">
        <v>15</v>
      </c>
      <c r="O757" s="13" t="s">
        <v>357</v>
      </c>
    </row>
    <row r="758" spans="1:15" ht="60" x14ac:dyDescent="0.25">
      <c r="A758">
        <v>9103</v>
      </c>
      <c r="B758" s="24">
        <v>16</v>
      </c>
      <c r="C758" s="29" t="s">
        <v>605</v>
      </c>
      <c r="D758">
        <v>2017</v>
      </c>
      <c r="E758" s="24">
        <v>46</v>
      </c>
      <c r="F758" s="25">
        <v>5.93</v>
      </c>
      <c r="G758" s="24">
        <v>19</v>
      </c>
      <c r="H758" s="26">
        <v>-29.976700000000001</v>
      </c>
      <c r="I758" s="25">
        <v>25.3248</v>
      </c>
      <c r="J758" s="26" t="s">
        <v>1</v>
      </c>
      <c r="K758" s="24">
        <v>3.8</v>
      </c>
      <c r="L758" s="26"/>
      <c r="M758" s="26">
        <v>87</v>
      </c>
      <c r="N758" s="27" t="s">
        <v>6</v>
      </c>
      <c r="O758" s="28" t="s">
        <v>507</v>
      </c>
    </row>
    <row r="759" spans="1:15" ht="60" x14ac:dyDescent="0.25">
      <c r="A759">
        <v>9104</v>
      </c>
      <c r="B759" s="24">
        <v>17</v>
      </c>
      <c r="C759" s="29" t="s">
        <v>605</v>
      </c>
      <c r="D759">
        <v>2017</v>
      </c>
      <c r="E759" s="24">
        <v>2</v>
      </c>
      <c r="F759" s="25">
        <v>30.67</v>
      </c>
      <c r="G759" s="24">
        <v>4</v>
      </c>
      <c r="H759" s="26">
        <v>-28.7271</v>
      </c>
      <c r="I759" s="25">
        <v>25.319400000000002</v>
      </c>
      <c r="J759" s="26" t="s">
        <v>1</v>
      </c>
      <c r="K759" s="24">
        <v>3.9</v>
      </c>
      <c r="L759" s="26"/>
      <c r="M759" s="26">
        <v>152</v>
      </c>
      <c r="N759" s="27" t="s">
        <v>6</v>
      </c>
      <c r="O759" s="28" t="s">
        <v>68</v>
      </c>
    </row>
    <row r="760" spans="1:15" ht="60" x14ac:dyDescent="0.25">
      <c r="A760">
        <v>9105</v>
      </c>
      <c r="B760" s="24">
        <v>17</v>
      </c>
      <c r="C760" s="29" t="s">
        <v>605</v>
      </c>
      <c r="D760">
        <v>2017</v>
      </c>
      <c r="E760" s="24">
        <v>38</v>
      </c>
      <c r="F760" s="25">
        <v>16.45</v>
      </c>
      <c r="G760" s="24">
        <v>5</v>
      </c>
      <c r="H760" s="26">
        <v>-21.4557</v>
      </c>
      <c r="I760" s="25">
        <v>30.448799999999999</v>
      </c>
      <c r="J760" s="26" t="s">
        <v>1</v>
      </c>
      <c r="K760" s="24">
        <v>4.0999999999999996</v>
      </c>
      <c r="L760" s="26">
        <v>3.3</v>
      </c>
      <c r="M760" s="26">
        <v>106</v>
      </c>
      <c r="N760" s="27" t="s">
        <v>237</v>
      </c>
      <c r="O760" s="28" t="s">
        <v>639</v>
      </c>
    </row>
    <row r="761" spans="1:15" ht="60" x14ac:dyDescent="0.25">
      <c r="A761">
        <v>9106</v>
      </c>
      <c r="B761" s="8">
        <v>17</v>
      </c>
      <c r="C761" s="21" t="s">
        <v>605</v>
      </c>
      <c r="D761">
        <v>2017</v>
      </c>
      <c r="E761" s="8">
        <v>19</v>
      </c>
      <c r="F761" s="9">
        <v>30.58</v>
      </c>
      <c r="G761" s="8">
        <v>7</v>
      </c>
      <c r="H761" s="11">
        <v>16.262699999999999</v>
      </c>
      <c r="I761" s="9">
        <v>-8.4268999999999998</v>
      </c>
      <c r="J761" s="11" t="s">
        <v>1</v>
      </c>
      <c r="K761" s="8">
        <v>3.5</v>
      </c>
      <c r="L761" s="11">
        <v>2.9</v>
      </c>
      <c r="M761" s="11">
        <v>77</v>
      </c>
      <c r="N761" s="12" t="s">
        <v>15</v>
      </c>
      <c r="O761" s="13" t="s">
        <v>640</v>
      </c>
    </row>
    <row r="762" spans="1:15" ht="75" x14ac:dyDescent="0.25">
      <c r="A762">
        <v>9107</v>
      </c>
      <c r="B762" s="24">
        <v>17</v>
      </c>
      <c r="C762" s="29" t="s">
        <v>605</v>
      </c>
      <c r="D762">
        <v>2017</v>
      </c>
      <c r="E762" s="24">
        <v>48</v>
      </c>
      <c r="F762" s="25">
        <v>23.51</v>
      </c>
      <c r="G762" s="24">
        <v>9</v>
      </c>
      <c r="H762" s="26">
        <v>30.810199999999998</v>
      </c>
      <c r="I762" s="25">
        <v>32.014299999999999</v>
      </c>
      <c r="J762" s="26" t="s">
        <v>1</v>
      </c>
      <c r="K762" s="24">
        <v>3.5</v>
      </c>
      <c r="L762" s="26">
        <v>3.1</v>
      </c>
      <c r="M762" s="26">
        <v>120</v>
      </c>
      <c r="N762" s="27" t="s">
        <v>72</v>
      </c>
      <c r="O762" s="28" t="s">
        <v>641</v>
      </c>
    </row>
    <row r="763" spans="1:15" ht="60" x14ac:dyDescent="0.25">
      <c r="A763">
        <v>9108</v>
      </c>
      <c r="B763" s="24">
        <v>17</v>
      </c>
      <c r="C763" s="29" t="s">
        <v>605</v>
      </c>
      <c r="D763">
        <v>2017</v>
      </c>
      <c r="E763" s="24">
        <v>53</v>
      </c>
      <c r="F763" s="25">
        <v>39.89</v>
      </c>
      <c r="G763" s="24">
        <v>9</v>
      </c>
      <c r="H763" s="26">
        <v>-23.5151</v>
      </c>
      <c r="I763" s="25">
        <v>29.361799999999999</v>
      </c>
      <c r="J763" s="26" t="s">
        <v>1</v>
      </c>
      <c r="K763" s="24">
        <v>3.8</v>
      </c>
      <c r="L763" s="26">
        <v>3.1</v>
      </c>
      <c r="M763" s="26">
        <v>90</v>
      </c>
      <c r="N763" s="27" t="s">
        <v>6</v>
      </c>
      <c r="O763" s="28" t="s">
        <v>642</v>
      </c>
    </row>
    <row r="764" spans="1:15" ht="45" x14ac:dyDescent="0.25">
      <c r="A764">
        <v>9109</v>
      </c>
      <c r="B764" s="8">
        <v>17</v>
      </c>
      <c r="C764" s="21" t="s">
        <v>605</v>
      </c>
      <c r="D764">
        <v>2017</v>
      </c>
      <c r="E764" s="8">
        <v>51</v>
      </c>
      <c r="F764" s="9">
        <v>8.5500000000000007</v>
      </c>
      <c r="G764" s="8">
        <v>11</v>
      </c>
      <c r="H764" s="11">
        <v>15.2279</v>
      </c>
      <c r="I764" s="9">
        <v>-1.1258999999999999</v>
      </c>
      <c r="J764" s="11" t="s">
        <v>1</v>
      </c>
      <c r="K764" s="8">
        <v>3.2</v>
      </c>
      <c r="L764" s="11">
        <v>2.7</v>
      </c>
      <c r="M764" s="11">
        <v>44</v>
      </c>
      <c r="N764" s="12" t="s">
        <v>15</v>
      </c>
      <c r="O764" s="13" t="s">
        <v>294</v>
      </c>
    </row>
    <row r="765" spans="1:15" ht="90" x14ac:dyDescent="0.25">
      <c r="A765">
        <v>9110</v>
      </c>
      <c r="B765" s="24">
        <v>18</v>
      </c>
      <c r="C765" s="29" t="s">
        <v>605</v>
      </c>
      <c r="D765">
        <v>2017</v>
      </c>
      <c r="E765" s="24">
        <v>57</v>
      </c>
      <c r="F765" s="25">
        <v>39.43</v>
      </c>
      <c r="G765" s="24">
        <v>0</v>
      </c>
      <c r="H765" s="26">
        <v>-26.519200000000001</v>
      </c>
      <c r="I765" s="25">
        <v>28.149799999999999</v>
      </c>
      <c r="J765" s="26" t="s">
        <v>1</v>
      </c>
      <c r="K765" s="24">
        <v>3.2</v>
      </c>
      <c r="L765" s="26">
        <v>3</v>
      </c>
      <c r="M765" s="26">
        <v>122</v>
      </c>
      <c r="N765" s="27" t="s">
        <v>6</v>
      </c>
      <c r="O765" s="28" t="s">
        <v>643</v>
      </c>
    </row>
    <row r="766" spans="1:15" ht="90" x14ac:dyDescent="0.25">
      <c r="A766">
        <v>9111</v>
      </c>
      <c r="B766" s="8">
        <v>18</v>
      </c>
      <c r="C766" s="21" t="s">
        <v>605</v>
      </c>
      <c r="D766">
        <v>2017</v>
      </c>
      <c r="E766" s="8">
        <v>56</v>
      </c>
      <c r="F766" s="9">
        <v>42.98</v>
      </c>
      <c r="G766" s="8">
        <v>4</v>
      </c>
      <c r="H766" s="11">
        <v>2.1341000000000001</v>
      </c>
      <c r="I766" s="9">
        <v>-13.716200000000001</v>
      </c>
      <c r="J766" s="11" t="s">
        <v>1</v>
      </c>
      <c r="K766" s="8">
        <v>4.5</v>
      </c>
      <c r="L766" s="11">
        <v>3.7</v>
      </c>
      <c r="M766" s="11">
        <v>152</v>
      </c>
      <c r="N766" s="12" t="s">
        <v>154</v>
      </c>
      <c r="O766" s="13" t="s">
        <v>233</v>
      </c>
    </row>
    <row r="767" spans="1:15" ht="60" x14ac:dyDescent="0.25">
      <c r="A767">
        <v>9112</v>
      </c>
      <c r="B767" s="24">
        <v>18</v>
      </c>
      <c r="C767" s="29" t="s">
        <v>605</v>
      </c>
      <c r="D767">
        <v>2017</v>
      </c>
      <c r="E767" s="24">
        <v>28</v>
      </c>
      <c r="F767" s="25">
        <v>6.37</v>
      </c>
      <c r="G767" s="24">
        <v>17</v>
      </c>
      <c r="H767" s="26">
        <v>-28.897200000000002</v>
      </c>
      <c r="I767" s="25">
        <v>17.447600000000001</v>
      </c>
      <c r="J767" s="26" t="s">
        <v>1</v>
      </c>
      <c r="K767" s="24">
        <v>4.5999999999999996</v>
      </c>
      <c r="L767" s="26"/>
      <c r="M767" s="26">
        <v>35</v>
      </c>
      <c r="N767" s="27" t="s">
        <v>291</v>
      </c>
      <c r="O767" s="28" t="s">
        <v>644</v>
      </c>
    </row>
    <row r="768" spans="1:15" ht="45" x14ac:dyDescent="0.25">
      <c r="A768">
        <v>9113</v>
      </c>
      <c r="B768" s="8">
        <v>18</v>
      </c>
      <c r="C768" s="21" t="s">
        <v>605</v>
      </c>
      <c r="D768">
        <v>2017</v>
      </c>
      <c r="E768" s="8">
        <v>28</v>
      </c>
      <c r="F768" s="9">
        <v>31.19</v>
      </c>
      <c r="G768" s="8">
        <v>17</v>
      </c>
      <c r="H768" s="11">
        <v>9.7449999999999992</v>
      </c>
      <c r="I768" s="9">
        <v>4.1684999999999999</v>
      </c>
      <c r="J768" s="11" t="s">
        <v>1</v>
      </c>
      <c r="K768" s="8">
        <v>4.2</v>
      </c>
      <c r="L768" s="11"/>
      <c r="M768" s="11">
        <v>127</v>
      </c>
      <c r="N768" s="12" t="s">
        <v>15</v>
      </c>
      <c r="O768" s="13" t="s">
        <v>645</v>
      </c>
    </row>
    <row r="769" spans="1:15" ht="45" x14ac:dyDescent="0.25">
      <c r="A769">
        <v>9114</v>
      </c>
      <c r="B769" s="8">
        <v>18</v>
      </c>
      <c r="C769" s="21" t="s">
        <v>605</v>
      </c>
      <c r="D769">
        <v>2017</v>
      </c>
      <c r="E769" s="8">
        <v>32</v>
      </c>
      <c r="F769" s="9">
        <v>8.4600000000000009</v>
      </c>
      <c r="G769" s="8">
        <v>18</v>
      </c>
      <c r="H769" s="11">
        <v>6.1906999999999996</v>
      </c>
      <c r="I769" s="9">
        <v>-4.8277999999999999</v>
      </c>
      <c r="J769" s="11" t="s">
        <v>1</v>
      </c>
      <c r="K769" s="8">
        <v>4</v>
      </c>
      <c r="L769" s="11"/>
      <c r="M769" s="11">
        <v>156</v>
      </c>
      <c r="N769" s="12" t="s">
        <v>15</v>
      </c>
      <c r="O769" s="13" t="s">
        <v>646</v>
      </c>
    </row>
    <row r="770" spans="1:15" ht="45" x14ac:dyDescent="0.25">
      <c r="A770">
        <v>9115</v>
      </c>
      <c r="B770" s="8">
        <v>19</v>
      </c>
      <c r="C770" s="21" t="s">
        <v>605</v>
      </c>
      <c r="D770">
        <v>2017</v>
      </c>
      <c r="E770" s="8">
        <v>24</v>
      </c>
      <c r="F770" s="9">
        <v>43.25</v>
      </c>
      <c r="G770" s="8">
        <v>6</v>
      </c>
      <c r="H770" s="11">
        <v>13.157</v>
      </c>
      <c r="I770" s="9">
        <v>1.6917</v>
      </c>
      <c r="J770" s="11" t="s">
        <v>1</v>
      </c>
      <c r="K770" s="8">
        <v>4.0999999999999996</v>
      </c>
      <c r="L770" s="11"/>
      <c r="M770" s="11">
        <v>162</v>
      </c>
      <c r="N770" s="12" t="s">
        <v>15</v>
      </c>
      <c r="O770" s="13" t="s">
        <v>50</v>
      </c>
    </row>
    <row r="771" spans="1:15" ht="60" x14ac:dyDescent="0.25">
      <c r="A771">
        <v>9116</v>
      </c>
      <c r="B771" s="8">
        <v>19</v>
      </c>
      <c r="C771" s="21" t="s">
        <v>605</v>
      </c>
      <c r="D771">
        <v>2017</v>
      </c>
      <c r="E771" s="8">
        <v>22</v>
      </c>
      <c r="F771" s="9">
        <v>23.34</v>
      </c>
      <c r="G771" s="8">
        <v>9</v>
      </c>
      <c r="H771" s="11">
        <v>11.8714</v>
      </c>
      <c r="I771" s="9">
        <v>1.1807000000000001</v>
      </c>
      <c r="J771" s="11" t="s">
        <v>1</v>
      </c>
      <c r="K771" s="8">
        <v>4.2</v>
      </c>
      <c r="L771" s="11"/>
      <c r="M771" s="11">
        <v>124</v>
      </c>
      <c r="N771" s="12" t="s">
        <v>15</v>
      </c>
      <c r="O771" s="13" t="s">
        <v>647</v>
      </c>
    </row>
    <row r="772" spans="1:15" ht="45" x14ac:dyDescent="0.25">
      <c r="A772">
        <v>9117</v>
      </c>
      <c r="B772" s="8">
        <v>20</v>
      </c>
      <c r="C772" s="21" t="s">
        <v>605</v>
      </c>
      <c r="D772">
        <v>2017</v>
      </c>
      <c r="E772" s="8">
        <v>27</v>
      </c>
      <c r="F772" s="9">
        <v>27.83</v>
      </c>
      <c r="G772" s="8">
        <v>11</v>
      </c>
      <c r="H772" s="11">
        <v>12.4757</v>
      </c>
      <c r="I772" s="9">
        <v>1.8774</v>
      </c>
      <c r="J772" s="11" t="s">
        <v>1</v>
      </c>
      <c r="K772" s="8">
        <v>4.3</v>
      </c>
      <c r="L772" s="11"/>
      <c r="M772" s="11">
        <v>56</v>
      </c>
      <c r="N772" s="12" t="s">
        <v>15</v>
      </c>
      <c r="O772" s="13" t="s">
        <v>308</v>
      </c>
    </row>
    <row r="773" spans="1:15" ht="60" x14ac:dyDescent="0.25">
      <c r="A773">
        <v>9118</v>
      </c>
      <c r="B773" s="24">
        <v>20</v>
      </c>
      <c r="C773" s="29" t="s">
        <v>605</v>
      </c>
      <c r="D773">
        <v>2017</v>
      </c>
      <c r="E773" s="24">
        <v>21</v>
      </c>
      <c r="F773" s="25">
        <v>52.36</v>
      </c>
      <c r="G773" s="24">
        <v>15</v>
      </c>
      <c r="H773" s="26">
        <v>-28.1569</v>
      </c>
      <c r="I773" s="25">
        <v>26.7254</v>
      </c>
      <c r="J773" s="26" t="s">
        <v>1</v>
      </c>
      <c r="K773" s="24">
        <v>4.3</v>
      </c>
      <c r="L773" s="26"/>
      <c r="M773" s="26">
        <v>135</v>
      </c>
      <c r="N773" s="27" t="s">
        <v>6</v>
      </c>
      <c r="O773" s="28" t="s">
        <v>648</v>
      </c>
    </row>
    <row r="774" spans="1:15" ht="60" x14ac:dyDescent="0.25">
      <c r="A774">
        <v>9119</v>
      </c>
      <c r="B774" s="24">
        <v>20</v>
      </c>
      <c r="C774" s="29" t="s">
        <v>605</v>
      </c>
      <c r="D774">
        <v>2017</v>
      </c>
      <c r="E774" s="24">
        <v>19</v>
      </c>
      <c r="F774" s="25">
        <v>39.58</v>
      </c>
      <c r="G774" s="24">
        <v>17</v>
      </c>
      <c r="H774" s="26">
        <v>-22.1127</v>
      </c>
      <c r="I774" s="25">
        <v>28.4849</v>
      </c>
      <c r="J774" s="26" t="s">
        <v>1</v>
      </c>
      <c r="K774" s="24">
        <v>4.3</v>
      </c>
      <c r="L774" s="26">
        <v>3.7</v>
      </c>
      <c r="M774" s="26">
        <v>94</v>
      </c>
      <c r="N774" s="27" t="s">
        <v>66</v>
      </c>
      <c r="O774" s="28" t="s">
        <v>649</v>
      </c>
    </row>
    <row r="775" spans="1:15" ht="60" x14ac:dyDescent="0.25">
      <c r="A775">
        <v>9120</v>
      </c>
      <c r="B775" s="24">
        <v>21</v>
      </c>
      <c r="C775" s="29" t="s">
        <v>605</v>
      </c>
      <c r="D775">
        <v>2017</v>
      </c>
      <c r="E775" s="24">
        <v>23</v>
      </c>
      <c r="F775" s="25">
        <v>2.76</v>
      </c>
      <c r="G775" s="24">
        <v>12</v>
      </c>
      <c r="H775" s="26">
        <v>-28.429099999999998</v>
      </c>
      <c r="I775" s="25">
        <v>25.400300000000001</v>
      </c>
      <c r="J775" s="26" t="s">
        <v>1</v>
      </c>
      <c r="K775" s="24">
        <v>4.3</v>
      </c>
      <c r="L775" s="26"/>
      <c r="M775" s="26">
        <v>35</v>
      </c>
      <c r="N775" s="27" t="s">
        <v>6</v>
      </c>
      <c r="O775" s="28" t="s">
        <v>68</v>
      </c>
    </row>
    <row r="776" spans="1:15" ht="60" x14ac:dyDescent="0.25">
      <c r="A776">
        <v>9121</v>
      </c>
      <c r="B776" s="24">
        <v>22</v>
      </c>
      <c r="C776" s="29" t="s">
        <v>605</v>
      </c>
      <c r="D776">
        <v>2017</v>
      </c>
      <c r="E776" s="24">
        <v>56</v>
      </c>
      <c r="F776" s="25">
        <v>37.21</v>
      </c>
      <c r="G776" s="24">
        <v>13</v>
      </c>
      <c r="H776" s="26">
        <v>-29.376799999999999</v>
      </c>
      <c r="I776" s="25">
        <v>23.872599999999998</v>
      </c>
      <c r="J776" s="26" t="s">
        <v>1</v>
      </c>
      <c r="K776" s="24">
        <v>4.3</v>
      </c>
      <c r="L776" s="26"/>
      <c r="M776" s="26">
        <v>150</v>
      </c>
      <c r="N776" s="27" t="s">
        <v>6</v>
      </c>
      <c r="O776" s="28" t="s">
        <v>416</v>
      </c>
    </row>
    <row r="777" spans="1:15" ht="45" x14ac:dyDescent="0.25">
      <c r="A777">
        <v>9122</v>
      </c>
      <c r="B777" s="8">
        <v>4</v>
      </c>
      <c r="C777" s="21" t="s">
        <v>650</v>
      </c>
      <c r="D777">
        <v>2017</v>
      </c>
      <c r="E777" s="8">
        <v>15</v>
      </c>
      <c r="F777" s="9">
        <v>13.44</v>
      </c>
      <c r="G777" s="8">
        <v>19</v>
      </c>
      <c r="H777" s="11" t="s">
        <v>651</v>
      </c>
      <c r="I777" s="9" t="s">
        <v>652</v>
      </c>
      <c r="J777" s="11" t="s">
        <v>1</v>
      </c>
      <c r="K777" s="8"/>
      <c r="L777" s="11">
        <v>2.4</v>
      </c>
      <c r="M777" s="11">
        <v>153</v>
      </c>
      <c r="N777" s="12" t="s">
        <v>15</v>
      </c>
      <c r="O777" s="13" t="s">
        <v>653</v>
      </c>
    </row>
    <row r="778" spans="1:15" ht="45" x14ac:dyDescent="0.25">
      <c r="A778">
        <v>9123</v>
      </c>
      <c r="B778" s="14">
        <v>4</v>
      </c>
      <c r="C778" s="30" t="s">
        <v>650</v>
      </c>
      <c r="D778">
        <v>2017</v>
      </c>
      <c r="E778" s="14">
        <v>48</v>
      </c>
      <c r="F778" s="15">
        <v>6.02</v>
      </c>
      <c r="G778" s="14">
        <v>20</v>
      </c>
      <c r="H778" s="17" t="s">
        <v>654</v>
      </c>
      <c r="I778" s="15" t="s">
        <v>655</v>
      </c>
      <c r="J778" s="17" t="s">
        <v>1</v>
      </c>
      <c r="K778" s="14"/>
      <c r="L778" s="17">
        <v>2.2999999999999998</v>
      </c>
      <c r="M778" s="17">
        <v>160</v>
      </c>
      <c r="N778" s="18" t="s">
        <v>15</v>
      </c>
      <c r="O778" s="19" t="s">
        <v>656</v>
      </c>
    </row>
    <row r="779" spans="1:15" ht="60" x14ac:dyDescent="0.25">
      <c r="A779">
        <v>9124</v>
      </c>
      <c r="B779" s="8">
        <v>5</v>
      </c>
      <c r="C779" s="21" t="s">
        <v>650</v>
      </c>
      <c r="D779">
        <v>2017</v>
      </c>
      <c r="E779" s="8">
        <v>30</v>
      </c>
      <c r="F779" s="9">
        <v>39.07</v>
      </c>
      <c r="G779" s="8">
        <v>3</v>
      </c>
      <c r="H779" s="11" t="s">
        <v>657</v>
      </c>
      <c r="I779" s="9" t="s">
        <v>658</v>
      </c>
      <c r="J779" s="11" t="s">
        <v>1</v>
      </c>
      <c r="K779" s="8"/>
      <c r="L779" s="11">
        <v>3.4</v>
      </c>
      <c r="M779" s="11">
        <v>28</v>
      </c>
      <c r="N779" s="12" t="s">
        <v>15</v>
      </c>
      <c r="O779" s="13" t="s">
        <v>633</v>
      </c>
    </row>
    <row r="780" spans="1:15" ht="60" x14ac:dyDescent="0.25">
      <c r="A780">
        <v>9125</v>
      </c>
      <c r="B780" s="24">
        <v>5</v>
      </c>
      <c r="C780" s="29" t="s">
        <v>650</v>
      </c>
      <c r="D780">
        <v>2017</v>
      </c>
      <c r="E780" s="24">
        <v>9</v>
      </c>
      <c r="F780" s="25">
        <v>23.17</v>
      </c>
      <c r="G780" s="24">
        <v>9</v>
      </c>
      <c r="H780" s="26">
        <v>-26.5962</v>
      </c>
      <c r="I780" s="25" t="s">
        <v>659</v>
      </c>
      <c r="J780" s="26" t="s">
        <v>1</v>
      </c>
      <c r="K780" s="24">
        <v>4.3</v>
      </c>
      <c r="L780" s="26">
        <v>2.7</v>
      </c>
      <c r="M780" s="26"/>
      <c r="N780" s="27" t="s">
        <v>6</v>
      </c>
      <c r="O780" s="28" t="s">
        <v>660</v>
      </c>
    </row>
    <row r="781" spans="1:15" ht="75" x14ac:dyDescent="0.25">
      <c r="A781">
        <v>9126</v>
      </c>
      <c r="B781" s="24">
        <v>5</v>
      </c>
      <c r="C781" s="29" t="s">
        <v>650</v>
      </c>
      <c r="D781">
        <v>2017</v>
      </c>
      <c r="E781" s="24">
        <v>17</v>
      </c>
      <c r="F781" s="25">
        <v>36.880000000000003</v>
      </c>
      <c r="G781" s="24">
        <v>13</v>
      </c>
      <c r="H781" s="26">
        <v>-27.337800000000001</v>
      </c>
      <c r="I781" s="25">
        <v>24.805199999999999</v>
      </c>
      <c r="J781" s="26" t="s">
        <v>1</v>
      </c>
      <c r="K781" s="24">
        <v>4.2</v>
      </c>
      <c r="L781" s="26"/>
      <c r="M781" s="26">
        <v>62</v>
      </c>
      <c r="N781" s="27" t="s">
        <v>6</v>
      </c>
      <c r="O781" s="28" t="s">
        <v>661</v>
      </c>
    </row>
    <row r="782" spans="1:15" ht="45" x14ac:dyDescent="0.25">
      <c r="A782">
        <v>9127</v>
      </c>
      <c r="B782" s="8">
        <v>5</v>
      </c>
      <c r="C782" s="21" t="s">
        <v>650</v>
      </c>
      <c r="D782">
        <v>2017</v>
      </c>
      <c r="E782" s="8">
        <v>11</v>
      </c>
      <c r="F782" s="9">
        <v>1.52</v>
      </c>
      <c r="G782" s="8">
        <v>19</v>
      </c>
      <c r="H782" s="11" t="s">
        <v>662</v>
      </c>
      <c r="I782" s="9">
        <v>0.42699999999999999</v>
      </c>
      <c r="J782" s="11" t="s">
        <v>1</v>
      </c>
      <c r="K782" s="8">
        <v>3.6</v>
      </c>
      <c r="L782" s="11"/>
      <c r="M782" s="11">
        <v>158</v>
      </c>
      <c r="N782" s="12" t="s">
        <v>663</v>
      </c>
      <c r="O782" s="13" t="s">
        <v>109</v>
      </c>
    </row>
    <row r="783" spans="1:15" ht="90" x14ac:dyDescent="0.25">
      <c r="A783">
        <v>9128</v>
      </c>
      <c r="B783" s="8">
        <v>5</v>
      </c>
      <c r="C783" s="21" t="s">
        <v>650</v>
      </c>
      <c r="D783">
        <v>2017</v>
      </c>
      <c r="E783" s="8">
        <v>37</v>
      </c>
      <c r="F783" s="9">
        <v>41.86</v>
      </c>
      <c r="G783" s="8">
        <v>19</v>
      </c>
      <c r="H783" s="11" t="s">
        <v>664</v>
      </c>
      <c r="I783" s="9">
        <v>-17.5793</v>
      </c>
      <c r="J783" s="11" t="s">
        <v>1</v>
      </c>
      <c r="K783" s="8">
        <v>3.8</v>
      </c>
      <c r="L783" s="11">
        <v>3.9</v>
      </c>
      <c r="M783" s="11">
        <v>135</v>
      </c>
      <c r="N783" s="12" t="s">
        <v>154</v>
      </c>
      <c r="O783" s="13" t="s">
        <v>665</v>
      </c>
    </row>
    <row r="784" spans="1:15" ht="45" x14ac:dyDescent="0.25">
      <c r="A784">
        <v>9129</v>
      </c>
      <c r="B784" s="8">
        <v>6</v>
      </c>
      <c r="C784" s="21" t="s">
        <v>650</v>
      </c>
      <c r="D784">
        <v>2017</v>
      </c>
      <c r="E784" s="8">
        <v>20</v>
      </c>
      <c r="F784" s="9">
        <v>19.29</v>
      </c>
      <c r="G784" s="8">
        <v>10</v>
      </c>
      <c r="H784" s="11" t="s">
        <v>666</v>
      </c>
      <c r="I784" s="9" t="s">
        <v>667</v>
      </c>
      <c r="J784" s="11" t="s">
        <v>1</v>
      </c>
      <c r="K784" s="38">
        <v>4</v>
      </c>
      <c r="L784" s="11"/>
      <c r="M784" s="11">
        <v>85</v>
      </c>
      <c r="N784" s="12" t="s">
        <v>15</v>
      </c>
      <c r="O784" s="13" t="s">
        <v>50</v>
      </c>
    </row>
    <row r="785" spans="1:15" ht="45" x14ac:dyDescent="0.25">
      <c r="A785">
        <v>9130</v>
      </c>
      <c r="B785" s="8">
        <v>6</v>
      </c>
      <c r="C785" s="21" t="s">
        <v>650</v>
      </c>
      <c r="D785">
        <v>2017</v>
      </c>
      <c r="E785" s="8">
        <v>33</v>
      </c>
      <c r="F785" s="9">
        <v>1.46</v>
      </c>
      <c r="G785" s="8">
        <v>11</v>
      </c>
      <c r="H785" s="11">
        <v>8.8350000000000009</v>
      </c>
      <c r="I785" s="9" t="s">
        <v>668</v>
      </c>
      <c r="J785" s="11" t="s">
        <v>1</v>
      </c>
      <c r="K785" s="8">
        <v>4.3</v>
      </c>
      <c r="L785" s="11"/>
      <c r="M785" s="11">
        <v>81</v>
      </c>
      <c r="N785" s="12" t="s">
        <v>15</v>
      </c>
      <c r="O785" s="13" t="s">
        <v>669</v>
      </c>
    </row>
    <row r="786" spans="1:15" ht="45" x14ac:dyDescent="0.25">
      <c r="A786">
        <v>9131</v>
      </c>
      <c r="B786" s="8">
        <v>6</v>
      </c>
      <c r="C786" s="21" t="s">
        <v>650</v>
      </c>
      <c r="D786">
        <v>2017</v>
      </c>
      <c r="E786" s="8">
        <v>59</v>
      </c>
      <c r="F786" s="43">
        <v>35.5</v>
      </c>
      <c r="G786" s="8">
        <v>13</v>
      </c>
      <c r="H786" s="11">
        <v>7.2870999999999997</v>
      </c>
      <c r="I786" s="9">
        <v>-9.5652000000000008</v>
      </c>
      <c r="J786" s="11" t="s">
        <v>1</v>
      </c>
      <c r="K786" s="8"/>
      <c r="L786" s="11">
        <v>2.4</v>
      </c>
      <c r="M786" s="11">
        <v>2</v>
      </c>
      <c r="N786" s="12" t="s">
        <v>15</v>
      </c>
      <c r="O786" s="13" t="s">
        <v>670</v>
      </c>
    </row>
    <row r="787" spans="1:15" ht="90" x14ac:dyDescent="0.25">
      <c r="A787">
        <v>9132</v>
      </c>
      <c r="B787" s="14">
        <v>7</v>
      </c>
      <c r="C787" s="30" t="s">
        <v>650</v>
      </c>
      <c r="D787">
        <v>2017</v>
      </c>
      <c r="E787" s="14">
        <v>11</v>
      </c>
      <c r="F787" s="15">
        <v>28.97</v>
      </c>
      <c r="G787" s="14">
        <v>11</v>
      </c>
      <c r="H787" s="17">
        <v>1.7233000000000001</v>
      </c>
      <c r="I787" s="15">
        <v>-0.15809999999999999</v>
      </c>
      <c r="J787" s="17" t="s">
        <v>1</v>
      </c>
      <c r="K787" s="14"/>
      <c r="L787" s="17">
        <v>2.2000000000000002</v>
      </c>
      <c r="M787" s="17">
        <v>63</v>
      </c>
      <c r="N787" s="18" t="s">
        <v>671</v>
      </c>
      <c r="O787" s="19" t="s">
        <v>672</v>
      </c>
    </row>
    <row r="788" spans="1:15" ht="60" x14ac:dyDescent="0.25">
      <c r="A788">
        <v>9133</v>
      </c>
      <c r="B788" s="8">
        <v>7</v>
      </c>
      <c r="C788" s="21" t="s">
        <v>650</v>
      </c>
      <c r="D788">
        <v>2017</v>
      </c>
      <c r="E788" s="8">
        <v>42</v>
      </c>
      <c r="F788" s="9">
        <v>0.03</v>
      </c>
      <c r="G788" s="8">
        <v>16</v>
      </c>
      <c r="H788" s="11">
        <v>4.7922000000000002</v>
      </c>
      <c r="I788" s="35">
        <v>-4.9850000000000003</v>
      </c>
      <c r="J788" s="11" t="s">
        <v>1</v>
      </c>
      <c r="K788" s="38">
        <v>4</v>
      </c>
      <c r="L788" s="11"/>
      <c r="M788" s="11">
        <v>93</v>
      </c>
      <c r="N788" s="12" t="s">
        <v>663</v>
      </c>
      <c r="O788" s="13" t="s">
        <v>673</v>
      </c>
    </row>
    <row r="789" spans="1:15" ht="45" x14ac:dyDescent="0.25">
      <c r="A789">
        <v>9134</v>
      </c>
      <c r="B789" s="8">
        <v>7</v>
      </c>
      <c r="C789" s="21" t="s">
        <v>650</v>
      </c>
      <c r="D789">
        <v>2017</v>
      </c>
      <c r="E789" s="8">
        <v>14</v>
      </c>
      <c r="F789" s="9">
        <v>48.87</v>
      </c>
      <c r="G789" s="8">
        <v>21</v>
      </c>
      <c r="H789" s="11">
        <v>12.0915</v>
      </c>
      <c r="I789" s="9">
        <v>2.7524999999999999</v>
      </c>
      <c r="J789" s="11" t="s">
        <v>1</v>
      </c>
      <c r="K789" s="8">
        <v>3.9</v>
      </c>
      <c r="L789" s="11"/>
      <c r="M789" s="11">
        <v>43</v>
      </c>
      <c r="N789" s="12" t="s">
        <v>663</v>
      </c>
      <c r="O789" s="13" t="s">
        <v>81</v>
      </c>
    </row>
    <row r="790" spans="1:15" ht="60" x14ac:dyDescent="0.25">
      <c r="A790">
        <v>9135</v>
      </c>
      <c r="B790" s="8">
        <v>10</v>
      </c>
      <c r="C790" s="21" t="s">
        <v>650</v>
      </c>
      <c r="D790">
        <v>2017</v>
      </c>
      <c r="E790" s="8">
        <v>42</v>
      </c>
      <c r="F790" s="9">
        <v>43.09</v>
      </c>
      <c r="G790" s="8">
        <v>11</v>
      </c>
      <c r="H790" s="11" t="s">
        <v>674</v>
      </c>
      <c r="I790" s="9">
        <v>-6.2648000000000001</v>
      </c>
      <c r="J790" s="11" t="s">
        <v>1</v>
      </c>
      <c r="K790" s="38">
        <v>4</v>
      </c>
      <c r="L790" s="11"/>
      <c r="M790" s="11">
        <v>167</v>
      </c>
      <c r="N790" s="12" t="s">
        <v>663</v>
      </c>
      <c r="O790" s="13" t="s">
        <v>675</v>
      </c>
    </row>
    <row r="791" spans="1:15" ht="45" x14ac:dyDescent="0.25">
      <c r="A791">
        <v>9136</v>
      </c>
      <c r="B791" s="8">
        <v>10</v>
      </c>
      <c r="C791" s="21" t="s">
        <v>650</v>
      </c>
      <c r="D791">
        <v>2017</v>
      </c>
      <c r="E791" s="8">
        <v>52</v>
      </c>
      <c r="F791" s="9">
        <v>45.07</v>
      </c>
      <c r="G791" s="8">
        <v>17</v>
      </c>
      <c r="H791" s="11" t="s">
        <v>676</v>
      </c>
      <c r="I791" s="9" t="s">
        <v>677</v>
      </c>
      <c r="J791" s="11" t="s">
        <v>1</v>
      </c>
      <c r="K791" s="8">
        <v>4.4000000000000004</v>
      </c>
      <c r="L791" s="11"/>
      <c r="M791" s="11">
        <v>133</v>
      </c>
      <c r="N791" s="12" t="s">
        <v>15</v>
      </c>
      <c r="O791" s="13" t="s">
        <v>678</v>
      </c>
    </row>
    <row r="792" spans="1:15" ht="60" x14ac:dyDescent="0.25">
      <c r="A792">
        <v>9137</v>
      </c>
      <c r="B792" s="24">
        <v>11</v>
      </c>
      <c r="C792" s="29" t="s">
        <v>650</v>
      </c>
      <c r="D792">
        <v>2017</v>
      </c>
      <c r="E792" s="24">
        <v>2</v>
      </c>
      <c r="F792" s="25">
        <v>50.89</v>
      </c>
      <c r="G792" s="24">
        <v>11</v>
      </c>
      <c r="H792" s="26">
        <v>-29.3582</v>
      </c>
      <c r="I792" s="25">
        <v>25.616599999999998</v>
      </c>
      <c r="J792" s="26" t="s">
        <v>1</v>
      </c>
      <c r="K792" s="36">
        <v>4.0999999999999996</v>
      </c>
      <c r="L792" s="26"/>
      <c r="M792" s="26">
        <v>71</v>
      </c>
      <c r="N792" s="27" t="s">
        <v>6</v>
      </c>
      <c r="O792" s="28" t="s">
        <v>113</v>
      </c>
    </row>
    <row r="793" spans="1:15" ht="60" x14ac:dyDescent="0.25">
      <c r="A793">
        <v>9138</v>
      </c>
      <c r="B793" s="8">
        <v>11</v>
      </c>
      <c r="C793" s="21" t="s">
        <v>650</v>
      </c>
      <c r="D793">
        <v>2017</v>
      </c>
      <c r="E793" s="8">
        <v>15</v>
      </c>
      <c r="F793" s="9">
        <v>36.22</v>
      </c>
      <c r="G793" s="8">
        <v>14</v>
      </c>
      <c r="H793" s="31">
        <v>6.266</v>
      </c>
      <c r="I793" s="9">
        <v>-3.3784999999999998</v>
      </c>
      <c r="J793" s="11" t="s">
        <v>1</v>
      </c>
      <c r="K793" s="8">
        <v>4.3</v>
      </c>
      <c r="L793" s="11"/>
      <c r="M793" s="11">
        <v>21</v>
      </c>
      <c r="N793" s="12" t="s">
        <v>15</v>
      </c>
      <c r="O793" s="13" t="s">
        <v>679</v>
      </c>
    </row>
    <row r="794" spans="1:15" ht="90" x14ac:dyDescent="0.25">
      <c r="A794">
        <v>9139</v>
      </c>
      <c r="B794" s="8">
        <v>11</v>
      </c>
      <c r="C794" s="21" t="s">
        <v>650</v>
      </c>
      <c r="D794">
        <v>2017</v>
      </c>
      <c r="E794" s="8">
        <v>20</v>
      </c>
      <c r="F794" s="9">
        <v>1.77</v>
      </c>
      <c r="G794" s="8">
        <v>19</v>
      </c>
      <c r="H794" s="11">
        <v>5.4898999999999996</v>
      </c>
      <c r="I794" s="9">
        <v>-5.8289</v>
      </c>
      <c r="J794" s="11" t="s">
        <v>1</v>
      </c>
      <c r="K794" s="38">
        <v>4.2</v>
      </c>
      <c r="L794" s="11"/>
      <c r="M794" s="11">
        <v>128</v>
      </c>
      <c r="N794" s="12" t="s">
        <v>15</v>
      </c>
      <c r="O794" s="13" t="s">
        <v>680</v>
      </c>
    </row>
    <row r="795" spans="1:15" ht="60" x14ac:dyDescent="0.25">
      <c r="A795">
        <v>9140</v>
      </c>
      <c r="B795" s="24">
        <v>12</v>
      </c>
      <c r="C795" s="29" t="s">
        <v>650</v>
      </c>
      <c r="D795">
        <v>2017</v>
      </c>
      <c r="E795" s="24">
        <v>55</v>
      </c>
      <c r="F795" s="25">
        <v>7.01</v>
      </c>
      <c r="G795" s="24">
        <v>5</v>
      </c>
      <c r="H795" s="26">
        <v>32.522399999999998</v>
      </c>
      <c r="I795" s="25">
        <v>23.4102</v>
      </c>
      <c r="J795" s="26" t="s">
        <v>1</v>
      </c>
      <c r="K795" s="24">
        <v>3.9</v>
      </c>
      <c r="L795" s="26">
        <v>3.8</v>
      </c>
      <c r="M795" s="26">
        <v>16</v>
      </c>
      <c r="N795" s="27" t="s">
        <v>135</v>
      </c>
      <c r="O795" s="28" t="s">
        <v>681</v>
      </c>
    </row>
    <row r="796" spans="1:15" ht="105" x14ac:dyDescent="0.25">
      <c r="A796">
        <v>9141</v>
      </c>
      <c r="B796" s="8">
        <v>13</v>
      </c>
      <c r="C796" s="21" t="s">
        <v>650</v>
      </c>
      <c r="D796">
        <v>2017</v>
      </c>
      <c r="E796" s="8">
        <v>4</v>
      </c>
      <c r="F796" s="9">
        <v>4.45</v>
      </c>
      <c r="G796" s="8">
        <v>2</v>
      </c>
      <c r="H796" s="31">
        <v>27.460999999999999</v>
      </c>
      <c r="I796" s="35">
        <f>H796-2.2314</f>
        <v>25.229599999999998</v>
      </c>
      <c r="J796" s="11" t="s">
        <v>1</v>
      </c>
      <c r="K796" s="38">
        <v>3.5</v>
      </c>
      <c r="L796" s="11"/>
      <c r="M796" s="11">
        <v>142</v>
      </c>
      <c r="N796" s="12" t="s">
        <v>110</v>
      </c>
      <c r="O796" s="13" t="s">
        <v>682</v>
      </c>
    </row>
    <row r="797" spans="1:15" ht="45" x14ac:dyDescent="0.25">
      <c r="A797">
        <v>9142</v>
      </c>
      <c r="B797" s="8">
        <v>13</v>
      </c>
      <c r="C797" s="21" t="s">
        <v>650</v>
      </c>
      <c r="D797">
        <v>2017</v>
      </c>
      <c r="E797" s="8">
        <v>9</v>
      </c>
      <c r="F797" s="9">
        <v>49.36</v>
      </c>
      <c r="G797" s="8">
        <v>12</v>
      </c>
      <c r="H797" s="11" t="s">
        <v>683</v>
      </c>
      <c r="I797" s="9">
        <v>-0.40029999999999999</v>
      </c>
      <c r="J797" s="11" t="s">
        <v>1</v>
      </c>
      <c r="K797" s="8">
        <v>4.3</v>
      </c>
      <c r="L797" s="11"/>
      <c r="M797" s="11">
        <v>46</v>
      </c>
      <c r="N797" s="12" t="s">
        <v>15</v>
      </c>
      <c r="O797" s="13" t="s">
        <v>684</v>
      </c>
    </row>
    <row r="798" spans="1:15" ht="60" x14ac:dyDescent="0.25">
      <c r="A798">
        <v>9143</v>
      </c>
      <c r="B798" s="8">
        <v>13</v>
      </c>
      <c r="C798" s="21" t="s">
        <v>650</v>
      </c>
      <c r="D798">
        <v>2017</v>
      </c>
      <c r="E798" s="8">
        <v>9</v>
      </c>
      <c r="F798" s="9">
        <v>24.57</v>
      </c>
      <c r="G798" s="8">
        <v>19</v>
      </c>
      <c r="H798" s="11" t="s">
        <v>685</v>
      </c>
      <c r="I798" s="9">
        <f>H829-5.7683</f>
        <v>18.357700000000001</v>
      </c>
      <c r="J798" s="11" t="s">
        <v>1</v>
      </c>
      <c r="K798" s="38">
        <v>3.7</v>
      </c>
      <c r="L798" s="11"/>
      <c r="M798" s="11">
        <v>126</v>
      </c>
      <c r="N798" s="12" t="s">
        <v>15</v>
      </c>
      <c r="O798" s="13" t="s">
        <v>686</v>
      </c>
    </row>
    <row r="799" spans="1:15" ht="45" x14ac:dyDescent="0.25">
      <c r="A799">
        <v>9144</v>
      </c>
      <c r="B799" s="8">
        <v>14</v>
      </c>
      <c r="C799" s="21" t="s">
        <v>650</v>
      </c>
      <c r="D799">
        <v>2017</v>
      </c>
      <c r="E799" s="8">
        <v>15</v>
      </c>
      <c r="F799" s="9">
        <v>14.77</v>
      </c>
      <c r="G799" s="8">
        <v>16</v>
      </c>
      <c r="H799" s="11" t="s">
        <v>687</v>
      </c>
      <c r="I799" s="9">
        <v>-5.2476000000000003</v>
      </c>
      <c r="J799" s="11" t="s">
        <v>1</v>
      </c>
      <c r="K799" s="8">
        <v>4.3</v>
      </c>
      <c r="L799" s="11"/>
      <c r="M799" s="11">
        <v>101</v>
      </c>
      <c r="N799" s="12" t="s">
        <v>663</v>
      </c>
      <c r="O799" s="13" t="s">
        <v>688</v>
      </c>
    </row>
    <row r="800" spans="1:15" ht="45" x14ac:dyDescent="0.25">
      <c r="A800">
        <v>9145</v>
      </c>
      <c r="B800" s="8">
        <v>14</v>
      </c>
      <c r="C800" s="21" t="s">
        <v>650</v>
      </c>
      <c r="D800">
        <v>2017</v>
      </c>
      <c r="E800" s="8">
        <v>59</v>
      </c>
      <c r="F800" s="43">
        <v>0.95</v>
      </c>
      <c r="G800" s="8">
        <v>16</v>
      </c>
      <c r="H800" s="11">
        <v>22.975100000000001</v>
      </c>
      <c r="I800" s="9" t="s">
        <v>689</v>
      </c>
      <c r="J800" s="11" t="s">
        <v>1</v>
      </c>
      <c r="K800" s="38">
        <v>3.7</v>
      </c>
      <c r="L800" s="39">
        <v>4</v>
      </c>
      <c r="M800" s="11">
        <v>93</v>
      </c>
      <c r="N800" s="12" t="s">
        <v>15</v>
      </c>
      <c r="O800" s="13" t="s">
        <v>172</v>
      </c>
    </row>
    <row r="801" spans="1:15" ht="60" x14ac:dyDescent="0.25">
      <c r="A801">
        <v>9146</v>
      </c>
      <c r="B801" s="24">
        <v>16</v>
      </c>
      <c r="C801" s="29" t="s">
        <v>650</v>
      </c>
      <c r="D801">
        <v>2017</v>
      </c>
      <c r="E801" s="24">
        <v>40</v>
      </c>
      <c r="F801" s="25">
        <v>32.36</v>
      </c>
      <c r="G801" s="24">
        <v>15</v>
      </c>
      <c r="H801" s="26">
        <v>-26.005500000000001</v>
      </c>
      <c r="I801" s="25">
        <v>27.605399999999999</v>
      </c>
      <c r="J801" s="26" t="s">
        <v>1</v>
      </c>
      <c r="K801" s="24">
        <v>4.0999999999999996</v>
      </c>
      <c r="L801" s="26">
        <v>2.4</v>
      </c>
      <c r="M801" s="26">
        <v>112</v>
      </c>
      <c r="N801" s="27" t="s">
        <v>6</v>
      </c>
      <c r="O801" s="28" t="s">
        <v>690</v>
      </c>
    </row>
    <row r="802" spans="1:15" ht="60" x14ac:dyDescent="0.25">
      <c r="A802">
        <v>9147</v>
      </c>
      <c r="B802" s="24">
        <v>16</v>
      </c>
      <c r="C802" s="29" t="s">
        <v>650</v>
      </c>
      <c r="D802">
        <v>2017</v>
      </c>
      <c r="E802" s="24">
        <v>26</v>
      </c>
      <c r="F802" s="25">
        <v>52.99</v>
      </c>
      <c r="G802" s="24">
        <v>16</v>
      </c>
      <c r="H802" s="33">
        <v>-27.545999999999999</v>
      </c>
      <c r="I802" s="25">
        <v>24.1874</v>
      </c>
      <c r="J802" s="26" t="s">
        <v>1</v>
      </c>
      <c r="K802" s="36">
        <v>3.9</v>
      </c>
      <c r="L802" s="26"/>
      <c r="M802" s="26">
        <v>55</v>
      </c>
      <c r="N802" s="27" t="s">
        <v>6</v>
      </c>
      <c r="O802" s="28" t="s">
        <v>691</v>
      </c>
    </row>
    <row r="803" spans="1:15" ht="60" x14ac:dyDescent="0.25">
      <c r="A803">
        <v>9148</v>
      </c>
      <c r="B803" s="24">
        <v>17</v>
      </c>
      <c r="C803" s="29" t="s">
        <v>650</v>
      </c>
      <c r="D803">
        <v>2017</v>
      </c>
      <c r="E803" s="24">
        <v>49</v>
      </c>
      <c r="F803" s="25">
        <v>24.01</v>
      </c>
      <c r="G803" s="24">
        <v>13</v>
      </c>
      <c r="H803" s="26">
        <v>-24.0596</v>
      </c>
      <c r="I803" s="25" t="s">
        <v>692</v>
      </c>
      <c r="J803" s="26" t="s">
        <v>1</v>
      </c>
      <c r="K803" s="24">
        <v>3.9</v>
      </c>
      <c r="L803" s="26">
        <v>3.8</v>
      </c>
      <c r="M803" s="26">
        <v>141</v>
      </c>
      <c r="N803" s="27" t="s">
        <v>693</v>
      </c>
      <c r="O803" s="28" t="s">
        <v>694</v>
      </c>
    </row>
    <row r="804" spans="1:15" ht="45" x14ac:dyDescent="0.25">
      <c r="A804">
        <v>9149</v>
      </c>
      <c r="B804" s="24">
        <v>2</v>
      </c>
      <c r="C804" s="29" t="s">
        <v>0</v>
      </c>
      <c r="D804">
        <v>2017</v>
      </c>
      <c r="E804" s="24">
        <v>48</v>
      </c>
      <c r="F804" s="25">
        <v>57.25</v>
      </c>
      <c r="G804" s="24">
        <v>12</v>
      </c>
      <c r="H804" s="26">
        <v>28.196200000000001</v>
      </c>
      <c r="I804" s="25">
        <v>16.693899999999999</v>
      </c>
      <c r="J804" s="26" t="s">
        <v>1</v>
      </c>
      <c r="K804" s="24">
        <v>3.5</v>
      </c>
      <c r="L804" s="26">
        <v>3.6</v>
      </c>
      <c r="M804" s="26">
        <v>144</v>
      </c>
      <c r="N804" s="27" t="s">
        <v>48</v>
      </c>
      <c r="O804" s="28" t="s">
        <v>585</v>
      </c>
    </row>
    <row r="805" spans="1:15" ht="60" x14ac:dyDescent="0.25">
      <c r="A805">
        <v>9150</v>
      </c>
      <c r="B805" s="24">
        <v>2</v>
      </c>
      <c r="C805" s="29" t="s">
        <v>0</v>
      </c>
      <c r="D805">
        <v>2017</v>
      </c>
      <c r="E805" s="24">
        <v>40</v>
      </c>
      <c r="F805" s="25">
        <v>3.18</v>
      </c>
      <c r="G805" s="24">
        <v>22</v>
      </c>
      <c r="H805" s="26">
        <v>33.202300000000001</v>
      </c>
      <c r="I805" s="25">
        <v>2.5293999999999999</v>
      </c>
      <c r="J805" s="26" t="s">
        <v>1</v>
      </c>
      <c r="K805" s="24">
        <v>4.0999999999999996</v>
      </c>
      <c r="L805" s="26">
        <v>3.4</v>
      </c>
      <c r="M805" s="26">
        <v>113</v>
      </c>
      <c r="N805" s="27" t="s">
        <v>10</v>
      </c>
      <c r="O805" s="28" t="s">
        <v>695</v>
      </c>
    </row>
    <row r="806" spans="1:15" ht="60" x14ac:dyDescent="0.25">
      <c r="A806">
        <v>9151</v>
      </c>
      <c r="B806" s="24">
        <v>3</v>
      </c>
      <c r="C806" s="29" t="s">
        <v>0</v>
      </c>
      <c r="D806">
        <v>2017</v>
      </c>
      <c r="E806" s="24">
        <v>6</v>
      </c>
      <c r="F806" s="25">
        <v>41.69</v>
      </c>
      <c r="G806" s="24">
        <v>0</v>
      </c>
      <c r="H806" s="26">
        <v>-23.8352</v>
      </c>
      <c r="I806" s="25">
        <v>19.6843</v>
      </c>
      <c r="J806" s="26" t="s">
        <v>1</v>
      </c>
      <c r="K806" s="24">
        <v>4.0999999999999996</v>
      </c>
      <c r="L806" s="26"/>
      <c r="M806" s="26">
        <v>122</v>
      </c>
      <c r="N806" s="27" t="s">
        <v>291</v>
      </c>
      <c r="O806" s="28" t="s">
        <v>696</v>
      </c>
    </row>
    <row r="807" spans="1:15" ht="45" x14ac:dyDescent="0.25">
      <c r="A807">
        <v>9152</v>
      </c>
      <c r="B807" s="8">
        <v>3</v>
      </c>
      <c r="C807" s="29" t="s">
        <v>0</v>
      </c>
      <c r="D807">
        <v>2017</v>
      </c>
      <c r="E807" s="8">
        <v>26</v>
      </c>
      <c r="F807" s="9">
        <v>21.02</v>
      </c>
      <c r="G807" s="8">
        <v>9</v>
      </c>
      <c r="H807" s="11">
        <v>14.000299999999999</v>
      </c>
      <c r="I807" s="9">
        <v>-2.1198999999999999</v>
      </c>
      <c r="J807" s="11" t="s">
        <v>1</v>
      </c>
      <c r="K807" s="8">
        <v>4.3</v>
      </c>
      <c r="L807" s="11"/>
      <c r="M807" s="11">
        <v>148</v>
      </c>
      <c r="N807" s="12" t="s">
        <v>15</v>
      </c>
      <c r="O807" s="13" t="s">
        <v>697</v>
      </c>
    </row>
    <row r="808" spans="1:15" ht="30" x14ac:dyDescent="0.25">
      <c r="A808">
        <v>9153</v>
      </c>
      <c r="B808" s="24">
        <v>3</v>
      </c>
      <c r="C808" s="29" t="s">
        <v>0</v>
      </c>
      <c r="D808">
        <v>2017</v>
      </c>
      <c r="E808" s="24">
        <v>50</v>
      </c>
      <c r="F808" s="25">
        <v>48.18</v>
      </c>
      <c r="G808" s="24">
        <v>21</v>
      </c>
      <c r="H808" s="26">
        <v>-10.049799999999999</v>
      </c>
      <c r="I808" s="25">
        <v>33.790399999999998</v>
      </c>
      <c r="J808" s="26" t="s">
        <v>1</v>
      </c>
      <c r="K808" s="24">
        <v>3.9</v>
      </c>
      <c r="L808" s="26"/>
      <c r="M808" s="26">
        <v>99</v>
      </c>
      <c r="N808" s="27" t="s">
        <v>266</v>
      </c>
      <c r="O808" s="28" t="s">
        <v>698</v>
      </c>
    </row>
    <row r="809" spans="1:15" ht="45" x14ac:dyDescent="0.25">
      <c r="A809">
        <v>9154</v>
      </c>
      <c r="B809" s="24">
        <v>5</v>
      </c>
      <c r="C809" s="29" t="s">
        <v>0</v>
      </c>
      <c r="D809">
        <v>2017</v>
      </c>
      <c r="E809" s="24">
        <v>12</v>
      </c>
      <c r="F809" s="25">
        <v>7.8</v>
      </c>
      <c r="G809" s="24">
        <v>10</v>
      </c>
      <c r="H809" s="26">
        <v>36.966200000000001</v>
      </c>
      <c r="I809" s="25">
        <v>8.8213000000000008</v>
      </c>
      <c r="J809" s="26" t="s">
        <v>1</v>
      </c>
      <c r="K809" s="24"/>
      <c r="L809" s="26">
        <v>4.7</v>
      </c>
      <c r="M809" s="26">
        <v>82</v>
      </c>
      <c r="N809" s="27" t="s">
        <v>2</v>
      </c>
      <c r="O809" s="28" t="s">
        <v>699</v>
      </c>
    </row>
    <row r="810" spans="1:15" ht="30" x14ac:dyDescent="0.25">
      <c r="A810">
        <v>9155</v>
      </c>
      <c r="B810" s="24">
        <v>7</v>
      </c>
      <c r="C810" s="29" t="s">
        <v>0</v>
      </c>
      <c r="D810">
        <v>2017</v>
      </c>
      <c r="E810" s="24">
        <v>18</v>
      </c>
      <c r="F810" s="25">
        <v>8.86</v>
      </c>
      <c r="G810" s="24">
        <v>21</v>
      </c>
      <c r="H810" s="26">
        <v>-16.562799999999999</v>
      </c>
      <c r="I810" s="25">
        <v>23.761299999999999</v>
      </c>
      <c r="J810" s="26" t="s">
        <v>1</v>
      </c>
      <c r="K810" s="24">
        <v>3.9</v>
      </c>
      <c r="L810" s="26">
        <v>3.2</v>
      </c>
      <c r="M810" s="26">
        <v>78</v>
      </c>
      <c r="N810" s="27" t="s">
        <v>700</v>
      </c>
      <c r="O810" s="28" t="s">
        <v>701</v>
      </c>
    </row>
    <row r="811" spans="1:15" ht="45" x14ac:dyDescent="0.25">
      <c r="A811">
        <v>9156</v>
      </c>
      <c r="B811" s="8">
        <v>8</v>
      </c>
      <c r="C811" s="29" t="s">
        <v>0</v>
      </c>
      <c r="D811">
        <v>2017</v>
      </c>
      <c r="E811" s="8">
        <v>1</v>
      </c>
      <c r="F811" s="9">
        <v>0.88</v>
      </c>
      <c r="G811" s="8">
        <v>14</v>
      </c>
      <c r="H811" s="11">
        <v>19.919</v>
      </c>
      <c r="I811" s="9">
        <v>-7.5644999999999998</v>
      </c>
      <c r="J811" s="11" t="s">
        <v>1</v>
      </c>
      <c r="K811" s="8">
        <v>4.0999999999999996</v>
      </c>
      <c r="L811" s="11"/>
      <c r="M811" s="11">
        <v>175</v>
      </c>
      <c r="N811" s="12" t="s">
        <v>15</v>
      </c>
      <c r="O811" s="13" t="s">
        <v>702</v>
      </c>
    </row>
    <row r="812" spans="1:15" ht="60" x14ac:dyDescent="0.25">
      <c r="A812">
        <v>9157</v>
      </c>
      <c r="B812" s="24">
        <v>8</v>
      </c>
      <c r="C812" s="29" t="s">
        <v>0</v>
      </c>
      <c r="D812">
        <v>2017</v>
      </c>
      <c r="E812" s="24">
        <v>38</v>
      </c>
      <c r="F812" s="25">
        <v>37.020000000000003</v>
      </c>
      <c r="G812" s="24">
        <v>14</v>
      </c>
      <c r="H812" s="26">
        <v>-29.299399999999999</v>
      </c>
      <c r="I812" s="25">
        <v>29.353899999999999</v>
      </c>
      <c r="J812" s="26" t="s">
        <v>1</v>
      </c>
      <c r="K812" s="24">
        <v>4.2</v>
      </c>
      <c r="L812" s="26">
        <v>2.6</v>
      </c>
      <c r="M812" s="26">
        <v>14</v>
      </c>
      <c r="N812" s="27" t="s">
        <v>703</v>
      </c>
      <c r="O812" s="28" t="s">
        <v>704</v>
      </c>
    </row>
    <row r="813" spans="1:15" ht="45" x14ac:dyDescent="0.25">
      <c r="A813">
        <v>9158</v>
      </c>
      <c r="B813" s="24">
        <v>8</v>
      </c>
      <c r="C813" s="29" t="s">
        <v>0</v>
      </c>
      <c r="D813">
        <v>2017</v>
      </c>
      <c r="E813" s="24">
        <v>27</v>
      </c>
      <c r="F813" s="25">
        <v>43.4</v>
      </c>
      <c r="G813" s="24">
        <v>22</v>
      </c>
      <c r="H813" s="26">
        <v>15.0938</v>
      </c>
      <c r="I813" s="25">
        <v>20.027899999999999</v>
      </c>
      <c r="J813" s="26" t="s">
        <v>1</v>
      </c>
      <c r="K813" s="24">
        <v>4.0999999999999996</v>
      </c>
      <c r="L813" s="26"/>
      <c r="M813" s="26">
        <v>117</v>
      </c>
      <c r="N813" s="27" t="s">
        <v>139</v>
      </c>
      <c r="O813" s="28" t="s">
        <v>705</v>
      </c>
    </row>
    <row r="814" spans="1:15" ht="60" x14ac:dyDescent="0.25">
      <c r="A814">
        <v>9159</v>
      </c>
      <c r="B814" s="24">
        <v>8</v>
      </c>
      <c r="C814" s="29" t="s">
        <v>0</v>
      </c>
      <c r="D814">
        <v>2017</v>
      </c>
      <c r="E814" s="24">
        <v>59</v>
      </c>
      <c r="F814" s="25">
        <v>10.51</v>
      </c>
      <c r="G814" s="24">
        <v>1</v>
      </c>
      <c r="H814" s="26">
        <v>-12.515599999999999</v>
      </c>
      <c r="I814" s="25">
        <v>38.0289</v>
      </c>
      <c r="J814" s="26" t="s">
        <v>1</v>
      </c>
      <c r="K814" s="24">
        <v>4.3</v>
      </c>
      <c r="L814" s="26">
        <v>3.2</v>
      </c>
      <c r="M814" s="26">
        <v>128</v>
      </c>
      <c r="N814" s="27" t="s">
        <v>26</v>
      </c>
      <c r="O814" s="28" t="s">
        <v>706</v>
      </c>
    </row>
    <row r="815" spans="1:15" ht="60" x14ac:dyDescent="0.25">
      <c r="A815">
        <v>9160</v>
      </c>
      <c r="B815" s="24">
        <v>9</v>
      </c>
      <c r="C815" s="29" t="s">
        <v>0</v>
      </c>
      <c r="D815">
        <v>2017</v>
      </c>
      <c r="E815" s="24">
        <v>5</v>
      </c>
      <c r="F815" s="25">
        <v>28.81</v>
      </c>
      <c r="G815" s="24">
        <v>14</v>
      </c>
      <c r="H815" s="26">
        <v>-28.581399999999999</v>
      </c>
      <c r="I815" s="25">
        <v>25.289100000000001</v>
      </c>
      <c r="J815" s="26" t="s">
        <v>1</v>
      </c>
      <c r="K815" s="24">
        <v>4.3</v>
      </c>
      <c r="L815" s="26"/>
      <c r="M815" s="26">
        <v>42</v>
      </c>
      <c r="N815" s="27" t="s">
        <v>703</v>
      </c>
      <c r="O815" s="28" t="s">
        <v>68</v>
      </c>
    </row>
    <row r="816" spans="1:15" ht="60" x14ac:dyDescent="0.25">
      <c r="A816">
        <v>9161</v>
      </c>
      <c r="B816" s="24">
        <v>9</v>
      </c>
      <c r="C816" s="29" t="s">
        <v>0</v>
      </c>
      <c r="D816">
        <v>2017</v>
      </c>
      <c r="E816" s="24">
        <v>1</v>
      </c>
      <c r="F816" s="25">
        <v>37.270000000000003</v>
      </c>
      <c r="G816" s="24">
        <v>15</v>
      </c>
      <c r="H816" s="26">
        <v>-29.752500000000001</v>
      </c>
      <c r="I816" s="25">
        <v>24.752300000000002</v>
      </c>
      <c r="J816" s="26" t="s">
        <v>1</v>
      </c>
      <c r="K816" s="24">
        <v>4.5</v>
      </c>
      <c r="L816" s="26"/>
      <c r="M816" s="26">
        <v>116</v>
      </c>
      <c r="N816" s="27" t="s">
        <v>703</v>
      </c>
      <c r="O816" s="28" t="s">
        <v>236</v>
      </c>
    </row>
    <row r="817" spans="1:15" ht="60" x14ac:dyDescent="0.25">
      <c r="A817">
        <v>9162</v>
      </c>
      <c r="B817" s="24">
        <v>9</v>
      </c>
      <c r="C817" s="29" t="s">
        <v>0</v>
      </c>
      <c r="D817">
        <v>2017</v>
      </c>
      <c r="E817" s="24">
        <v>54</v>
      </c>
      <c r="F817" s="25">
        <v>20.63</v>
      </c>
      <c r="G817" s="24">
        <v>18</v>
      </c>
      <c r="H817" s="26">
        <v>28.776800000000001</v>
      </c>
      <c r="I817" s="25">
        <v>12.177</v>
      </c>
      <c r="J817" s="26" t="s">
        <v>1</v>
      </c>
      <c r="K817" s="24">
        <v>4</v>
      </c>
      <c r="L817" s="26">
        <v>2.4</v>
      </c>
      <c r="M817" s="26">
        <v>60</v>
      </c>
      <c r="N817" s="27" t="s">
        <v>48</v>
      </c>
      <c r="O817" s="28" t="s">
        <v>707</v>
      </c>
    </row>
    <row r="818" spans="1:15" ht="90" x14ac:dyDescent="0.25">
      <c r="A818">
        <v>9163</v>
      </c>
      <c r="B818" s="24">
        <v>10</v>
      </c>
      <c r="C818" s="29" t="s">
        <v>0</v>
      </c>
      <c r="D818">
        <v>2017</v>
      </c>
      <c r="E818" s="24">
        <v>4</v>
      </c>
      <c r="F818" s="25">
        <v>32.729999999999997</v>
      </c>
      <c r="G818" s="24">
        <v>15</v>
      </c>
      <c r="H818" s="26">
        <v>-27.079899999999999</v>
      </c>
      <c r="I818" s="25">
        <v>33.670200000000001</v>
      </c>
      <c r="J818" s="26" t="s">
        <v>1</v>
      </c>
      <c r="K818" s="24">
        <v>4.3</v>
      </c>
      <c r="L818" s="26">
        <v>3.5</v>
      </c>
      <c r="M818" s="26">
        <v>178</v>
      </c>
      <c r="N818" s="27" t="s">
        <v>24</v>
      </c>
      <c r="O818" s="28" t="s">
        <v>708</v>
      </c>
    </row>
    <row r="819" spans="1:15" ht="90" x14ac:dyDescent="0.25">
      <c r="A819">
        <v>9164</v>
      </c>
      <c r="B819" s="24">
        <v>11</v>
      </c>
      <c r="C819" s="29" t="s">
        <v>0</v>
      </c>
      <c r="D819">
        <v>2017</v>
      </c>
      <c r="E819" s="24">
        <v>31</v>
      </c>
      <c r="F819" s="25">
        <v>42.99</v>
      </c>
      <c r="G819" s="24">
        <v>14</v>
      </c>
      <c r="H819" s="26">
        <v>-29.750800000000002</v>
      </c>
      <c r="I819" s="25">
        <v>34.653500000000001</v>
      </c>
      <c r="J819" s="26" t="s">
        <v>1</v>
      </c>
      <c r="K819" s="24">
        <v>3.9</v>
      </c>
      <c r="L819" s="26"/>
      <c r="M819" s="26">
        <v>92</v>
      </c>
      <c r="N819" s="27" t="s">
        <v>24</v>
      </c>
      <c r="O819" s="28" t="s">
        <v>709</v>
      </c>
    </row>
    <row r="820" spans="1:15" ht="30" x14ac:dyDescent="0.25">
      <c r="A820">
        <v>9165</v>
      </c>
      <c r="B820" s="24">
        <v>12</v>
      </c>
      <c r="C820" s="29" t="s">
        <v>0</v>
      </c>
      <c r="D820">
        <v>2017</v>
      </c>
      <c r="E820" s="24">
        <v>42</v>
      </c>
      <c r="F820" s="25">
        <v>16.95</v>
      </c>
      <c r="G820" s="24">
        <v>12</v>
      </c>
      <c r="H820" s="26">
        <v>-3.0602</v>
      </c>
      <c r="I820" s="25">
        <v>35.991100000000003</v>
      </c>
      <c r="J820" s="26" t="s">
        <v>1</v>
      </c>
      <c r="K820" s="24">
        <v>3.7</v>
      </c>
      <c r="L820" s="26"/>
      <c r="M820" s="26">
        <v>79</v>
      </c>
      <c r="N820" s="27" t="s">
        <v>96</v>
      </c>
      <c r="O820" s="28" t="s">
        <v>710</v>
      </c>
    </row>
    <row r="821" spans="1:15" ht="120" x14ac:dyDescent="0.25">
      <c r="A821">
        <v>9166</v>
      </c>
      <c r="B821" s="24">
        <v>13</v>
      </c>
      <c r="C821" s="29" t="s">
        <v>0</v>
      </c>
      <c r="D821">
        <v>2017</v>
      </c>
      <c r="E821" s="24">
        <v>14</v>
      </c>
      <c r="F821" s="25">
        <v>6.52</v>
      </c>
      <c r="G821" s="24">
        <v>4</v>
      </c>
      <c r="H821" s="26">
        <v>-26.3673</v>
      </c>
      <c r="I821" s="25">
        <v>27.362100000000002</v>
      </c>
      <c r="J821" s="26" t="s">
        <v>1</v>
      </c>
      <c r="K821" s="24">
        <v>3.5</v>
      </c>
      <c r="L821" s="26">
        <v>3.2</v>
      </c>
      <c r="M821" s="26">
        <v>113</v>
      </c>
      <c r="N821" s="27" t="s">
        <v>711</v>
      </c>
      <c r="O821" s="28" t="s">
        <v>712</v>
      </c>
    </row>
    <row r="822" spans="1:15" ht="75" x14ac:dyDescent="0.25">
      <c r="A822">
        <v>9167</v>
      </c>
      <c r="B822" s="24">
        <v>13</v>
      </c>
      <c r="C822" s="29" t="s">
        <v>0</v>
      </c>
      <c r="D822">
        <v>2017</v>
      </c>
      <c r="E822" s="24">
        <v>43</v>
      </c>
      <c r="F822" s="25">
        <v>25.73</v>
      </c>
      <c r="G822" s="24">
        <v>6</v>
      </c>
      <c r="H822" s="26">
        <v>36.644799999999996</v>
      </c>
      <c r="I822" s="25">
        <v>10.5684</v>
      </c>
      <c r="J822" s="26" t="s">
        <v>1</v>
      </c>
      <c r="K822" s="24"/>
      <c r="L822" s="26">
        <v>4.0999999999999996</v>
      </c>
      <c r="M822" s="26">
        <v>141</v>
      </c>
      <c r="N822" s="27" t="s">
        <v>2</v>
      </c>
      <c r="O822" s="28" t="s">
        <v>713</v>
      </c>
    </row>
    <row r="823" spans="1:15" ht="30" x14ac:dyDescent="0.25">
      <c r="A823">
        <v>9168</v>
      </c>
      <c r="B823" s="24">
        <v>13</v>
      </c>
      <c r="C823" s="29" t="s">
        <v>0</v>
      </c>
      <c r="D823">
        <v>2017</v>
      </c>
      <c r="E823" s="24">
        <v>6</v>
      </c>
      <c r="F823" s="25">
        <v>7.54</v>
      </c>
      <c r="G823" s="24">
        <v>11</v>
      </c>
      <c r="H823" s="26">
        <v>35.725999999999999</v>
      </c>
      <c r="I823" s="25">
        <v>8.6931999999999992</v>
      </c>
      <c r="J823" s="26" t="s">
        <v>1</v>
      </c>
      <c r="K823" s="24">
        <v>4.0999999999999996</v>
      </c>
      <c r="L823" s="26"/>
      <c r="M823" s="26">
        <v>38</v>
      </c>
      <c r="N823" s="27" t="s">
        <v>2</v>
      </c>
      <c r="O823" s="28" t="s">
        <v>714</v>
      </c>
    </row>
    <row r="824" spans="1:15" ht="45" x14ac:dyDescent="0.25">
      <c r="A824">
        <v>9169</v>
      </c>
      <c r="B824" s="24">
        <v>13</v>
      </c>
      <c r="C824" s="29" t="s">
        <v>0</v>
      </c>
      <c r="D824">
        <v>2017</v>
      </c>
      <c r="E824" s="24">
        <v>26</v>
      </c>
      <c r="F824" s="25">
        <v>15.18</v>
      </c>
      <c r="G824" s="24">
        <v>22</v>
      </c>
      <c r="H824" s="26">
        <v>23.738099999999999</v>
      </c>
      <c r="I824" s="25">
        <v>20.3262</v>
      </c>
      <c r="J824" s="26" t="s">
        <v>1</v>
      </c>
      <c r="K824" s="24">
        <v>4.0999999999999996</v>
      </c>
      <c r="L824" s="26"/>
      <c r="M824" s="26">
        <v>90</v>
      </c>
      <c r="N824" s="27" t="s">
        <v>48</v>
      </c>
      <c r="O824" s="28" t="s">
        <v>715</v>
      </c>
    </row>
    <row r="825" spans="1:15" ht="90" x14ac:dyDescent="0.25">
      <c r="A825">
        <v>9170</v>
      </c>
      <c r="B825" s="24">
        <v>14</v>
      </c>
      <c r="C825" s="29" t="s">
        <v>0</v>
      </c>
      <c r="D825">
        <v>2017</v>
      </c>
      <c r="E825" s="24">
        <v>21</v>
      </c>
      <c r="F825" s="25">
        <v>25.29</v>
      </c>
      <c r="G825" s="24">
        <v>8</v>
      </c>
      <c r="H825" s="26">
        <v>-30.918900000000001</v>
      </c>
      <c r="I825" s="25">
        <v>49.973599999999998</v>
      </c>
      <c r="J825" s="26" t="s">
        <v>1</v>
      </c>
      <c r="K825" s="24">
        <v>4.2</v>
      </c>
      <c r="L825" s="26"/>
      <c r="M825" s="26">
        <v>61</v>
      </c>
      <c r="N825" s="27" t="s">
        <v>716</v>
      </c>
      <c r="O825" s="28" t="s">
        <v>717</v>
      </c>
    </row>
    <row r="826" spans="1:15" ht="75" x14ac:dyDescent="0.25">
      <c r="A826">
        <v>9171</v>
      </c>
      <c r="B826" s="24">
        <v>14</v>
      </c>
      <c r="C826" s="29" t="s">
        <v>0</v>
      </c>
      <c r="D826">
        <v>2017</v>
      </c>
      <c r="E826" s="24">
        <v>7</v>
      </c>
      <c r="F826" s="25">
        <v>28.69</v>
      </c>
      <c r="G826" s="24">
        <v>13</v>
      </c>
      <c r="H826" s="26">
        <v>-24.0701</v>
      </c>
      <c r="I826" s="25">
        <v>31.159099999999999</v>
      </c>
      <c r="J826" s="26" t="s">
        <v>1</v>
      </c>
      <c r="K826" s="24">
        <v>4.2</v>
      </c>
      <c r="L826" s="26">
        <v>3.3</v>
      </c>
      <c r="M826" s="26">
        <v>126</v>
      </c>
      <c r="N826" s="27" t="s">
        <v>703</v>
      </c>
      <c r="O826" s="28" t="s">
        <v>718</v>
      </c>
    </row>
    <row r="827" spans="1:15" ht="45" x14ac:dyDescent="0.25">
      <c r="A827">
        <v>9172</v>
      </c>
      <c r="B827" s="24">
        <v>15</v>
      </c>
      <c r="C827" s="29" t="s">
        <v>0</v>
      </c>
      <c r="D827">
        <v>2017</v>
      </c>
      <c r="E827" s="24">
        <v>44</v>
      </c>
      <c r="F827" s="25">
        <v>17.02</v>
      </c>
      <c r="G827" s="24">
        <v>0</v>
      </c>
      <c r="H827" s="26">
        <v>-12.0526</v>
      </c>
      <c r="I827" s="24">
        <v>24.973700000000001</v>
      </c>
      <c r="J827" s="26" t="s">
        <v>1</v>
      </c>
      <c r="K827" s="24">
        <v>4.0999999999999996</v>
      </c>
      <c r="L827" s="26"/>
      <c r="M827" s="26">
        <v>115</v>
      </c>
      <c r="N827" s="26" t="s">
        <v>700</v>
      </c>
      <c r="O827" s="28" t="s">
        <v>719</v>
      </c>
    </row>
    <row r="828" spans="1:15" ht="60" x14ac:dyDescent="0.25">
      <c r="A828">
        <v>9173</v>
      </c>
      <c r="B828" s="24">
        <v>15</v>
      </c>
      <c r="C828" s="29" t="s">
        <v>0</v>
      </c>
      <c r="D828">
        <v>2017</v>
      </c>
      <c r="E828" s="24">
        <v>59</v>
      </c>
      <c r="F828" s="25">
        <v>50.7</v>
      </c>
      <c r="G828" s="24">
        <v>9</v>
      </c>
      <c r="H828" s="24">
        <v>-29.3766</v>
      </c>
      <c r="I828" s="24">
        <v>26.759699999999999</v>
      </c>
      <c r="J828" s="26" t="s">
        <v>1</v>
      </c>
      <c r="K828" s="24">
        <v>3.9</v>
      </c>
      <c r="L828" s="26"/>
      <c r="M828" s="26">
        <v>30</v>
      </c>
      <c r="N828" s="27" t="s">
        <v>6</v>
      </c>
      <c r="O828" s="28" t="s">
        <v>69</v>
      </c>
    </row>
    <row r="829" spans="1:15" ht="45" x14ac:dyDescent="0.25">
      <c r="A829">
        <v>9174</v>
      </c>
      <c r="B829" s="8">
        <v>15</v>
      </c>
      <c r="C829" s="29" t="s">
        <v>0</v>
      </c>
      <c r="D829">
        <v>2017</v>
      </c>
      <c r="E829" s="8">
        <v>10</v>
      </c>
      <c r="F829" s="9">
        <v>44.84</v>
      </c>
      <c r="G829" s="8">
        <v>13</v>
      </c>
      <c r="H829" s="11">
        <v>24.126000000000001</v>
      </c>
      <c r="I829" s="9">
        <v>-9.7573000000000008</v>
      </c>
      <c r="J829" s="11" t="s">
        <v>1</v>
      </c>
      <c r="K829" s="8">
        <v>3.6</v>
      </c>
      <c r="L829" s="11">
        <v>3.4</v>
      </c>
      <c r="M829" s="11">
        <v>88</v>
      </c>
      <c r="N829" s="12" t="s">
        <v>15</v>
      </c>
      <c r="O829" s="13" t="s">
        <v>172</v>
      </c>
    </row>
    <row r="830" spans="1:15" ht="30" x14ac:dyDescent="0.25">
      <c r="A830">
        <v>9175</v>
      </c>
      <c r="B830" s="24">
        <v>15</v>
      </c>
      <c r="C830" s="29" t="s">
        <v>0</v>
      </c>
      <c r="D830">
        <v>2017</v>
      </c>
      <c r="E830" s="24">
        <v>23</v>
      </c>
      <c r="F830" s="25">
        <v>59.22</v>
      </c>
      <c r="G830" s="24">
        <v>19</v>
      </c>
      <c r="H830" s="26">
        <v>34.1663</v>
      </c>
      <c r="I830" s="25">
        <v>8.3658000000000001</v>
      </c>
      <c r="J830" s="26" t="s">
        <v>1</v>
      </c>
      <c r="K830" s="24">
        <v>3.9</v>
      </c>
      <c r="L830" s="26">
        <v>4.0999999999999996</v>
      </c>
      <c r="M830" s="26">
        <v>97</v>
      </c>
      <c r="N830" s="27" t="s">
        <v>2</v>
      </c>
      <c r="O830" s="28" t="s">
        <v>720</v>
      </c>
    </row>
    <row r="831" spans="1:15" ht="45" x14ac:dyDescent="0.25">
      <c r="A831">
        <v>9176</v>
      </c>
      <c r="B831" s="24">
        <v>15</v>
      </c>
      <c r="C831" s="29" t="s">
        <v>0</v>
      </c>
      <c r="D831">
        <v>2017</v>
      </c>
      <c r="E831" s="24">
        <v>24</v>
      </c>
      <c r="F831" s="25">
        <v>0.32</v>
      </c>
      <c r="G831" s="24">
        <v>19</v>
      </c>
      <c r="H831" s="26">
        <v>34.645499999999998</v>
      </c>
      <c r="I831" s="25">
        <v>6.7168999999999999</v>
      </c>
      <c r="J831" s="26" t="s">
        <v>1</v>
      </c>
      <c r="K831" s="24">
        <v>3.8</v>
      </c>
      <c r="L831" s="26">
        <v>3.9</v>
      </c>
      <c r="M831" s="26">
        <v>115</v>
      </c>
      <c r="N831" s="27" t="s">
        <v>10</v>
      </c>
      <c r="O831" s="28" t="s">
        <v>721</v>
      </c>
    </row>
    <row r="832" spans="1:15" ht="60" x14ac:dyDescent="0.25">
      <c r="A832">
        <v>9177</v>
      </c>
      <c r="B832" s="24">
        <v>16</v>
      </c>
      <c r="C832" s="29" t="s">
        <v>0</v>
      </c>
      <c r="D832">
        <v>2017</v>
      </c>
      <c r="E832" s="24">
        <v>45</v>
      </c>
      <c r="F832" s="25">
        <v>9.69</v>
      </c>
      <c r="G832" s="24">
        <v>2</v>
      </c>
      <c r="H832" s="26">
        <v>32.454700000000003</v>
      </c>
      <c r="I832" s="25">
        <v>19.158300000000001</v>
      </c>
      <c r="J832" s="26" t="s">
        <v>1</v>
      </c>
      <c r="K832" s="24">
        <v>3.5</v>
      </c>
      <c r="L832" s="26">
        <v>3.1</v>
      </c>
      <c r="M832" s="26">
        <v>4</v>
      </c>
      <c r="N832" s="27" t="s">
        <v>135</v>
      </c>
      <c r="O832" s="28" t="s">
        <v>722</v>
      </c>
    </row>
    <row r="833" spans="1:15" ht="30" x14ac:dyDescent="0.25">
      <c r="A833">
        <v>9178</v>
      </c>
      <c r="B833" s="24">
        <v>16</v>
      </c>
      <c r="C833" s="29" t="s">
        <v>0</v>
      </c>
      <c r="D833">
        <v>2017</v>
      </c>
      <c r="E833" s="24">
        <v>58</v>
      </c>
      <c r="F833" s="25">
        <v>3.78</v>
      </c>
      <c r="G833" s="24">
        <v>5</v>
      </c>
      <c r="H833" s="26">
        <v>29.801300000000001</v>
      </c>
      <c r="I833" s="25">
        <v>25.9053</v>
      </c>
      <c r="J833" s="26" t="s">
        <v>1</v>
      </c>
      <c r="K833" s="24">
        <v>4.2</v>
      </c>
      <c r="L833" s="26">
        <v>3.4</v>
      </c>
      <c r="M833" s="26">
        <v>47</v>
      </c>
      <c r="N833" s="27" t="s">
        <v>72</v>
      </c>
      <c r="O833" s="28" t="s">
        <v>338</v>
      </c>
    </row>
    <row r="834" spans="1:15" ht="30" x14ac:dyDescent="0.25">
      <c r="A834">
        <v>9179</v>
      </c>
      <c r="B834" s="24">
        <v>16</v>
      </c>
      <c r="C834" s="29" t="s">
        <v>0</v>
      </c>
      <c r="D834">
        <v>2017</v>
      </c>
      <c r="E834" s="24">
        <v>22</v>
      </c>
      <c r="F834" s="25">
        <v>26.86</v>
      </c>
      <c r="G834" s="24">
        <v>13</v>
      </c>
      <c r="H834" s="26">
        <v>13.0564</v>
      </c>
      <c r="I834" s="25">
        <v>24.7849</v>
      </c>
      <c r="J834" s="26" t="s">
        <v>1</v>
      </c>
      <c r="K834" s="24">
        <v>4.2</v>
      </c>
      <c r="L834" s="26"/>
      <c r="M834" s="26">
        <v>82</v>
      </c>
      <c r="N834" s="27" t="s">
        <v>117</v>
      </c>
      <c r="O834" s="28" t="s">
        <v>723</v>
      </c>
    </row>
    <row r="835" spans="1:15" ht="30" x14ac:dyDescent="0.25">
      <c r="A835">
        <v>9180</v>
      </c>
      <c r="B835" s="24">
        <v>16</v>
      </c>
      <c r="C835" s="29" t="s">
        <v>0</v>
      </c>
      <c r="D835">
        <v>2017</v>
      </c>
      <c r="E835" s="24">
        <v>55</v>
      </c>
      <c r="F835" s="25">
        <v>15.1</v>
      </c>
      <c r="G835" s="24">
        <v>22</v>
      </c>
      <c r="H835" s="26">
        <v>0.29870000000000002</v>
      </c>
      <c r="I835" s="25">
        <v>38.375799999999998</v>
      </c>
      <c r="J835" s="26" t="s">
        <v>1</v>
      </c>
      <c r="K835" s="24">
        <v>3.8</v>
      </c>
      <c r="L835" s="26"/>
      <c r="M835" s="26">
        <v>118</v>
      </c>
      <c r="N835" s="27" t="s">
        <v>13</v>
      </c>
      <c r="O835" s="28" t="s">
        <v>724</v>
      </c>
    </row>
    <row r="836" spans="1:15" ht="75" x14ac:dyDescent="0.25">
      <c r="A836">
        <v>9181</v>
      </c>
      <c r="B836" s="24">
        <v>17</v>
      </c>
      <c r="C836" s="29" t="s">
        <v>0</v>
      </c>
      <c r="D836">
        <v>2017</v>
      </c>
      <c r="E836" s="24">
        <v>38</v>
      </c>
      <c r="F836" s="25">
        <v>9.4</v>
      </c>
      <c r="G836" s="24">
        <v>1</v>
      </c>
      <c r="H836" s="26">
        <v>-39.223399999999998</v>
      </c>
      <c r="I836" s="25">
        <v>34.0886</v>
      </c>
      <c r="J836" s="26" t="s">
        <v>1</v>
      </c>
      <c r="K836" s="24">
        <v>4.0999999999999996</v>
      </c>
      <c r="L836" s="26"/>
      <c r="M836" s="26">
        <v>81</v>
      </c>
      <c r="N836" s="27" t="s">
        <v>24</v>
      </c>
      <c r="O836" s="28" t="s">
        <v>725</v>
      </c>
    </row>
    <row r="837" spans="1:15" ht="60" x14ac:dyDescent="0.25">
      <c r="A837">
        <v>9182</v>
      </c>
      <c r="B837" s="24">
        <v>17</v>
      </c>
      <c r="C837" s="29" t="s">
        <v>0</v>
      </c>
      <c r="D837">
        <v>2017</v>
      </c>
      <c r="E837" s="24">
        <v>42</v>
      </c>
      <c r="F837" s="25">
        <v>59.09</v>
      </c>
      <c r="G837" s="24">
        <v>22</v>
      </c>
      <c r="H837" s="26">
        <v>26.304500000000001</v>
      </c>
      <c r="I837" s="25">
        <v>4.9451999999999998</v>
      </c>
      <c r="J837" s="26" t="s">
        <v>1</v>
      </c>
      <c r="K837" s="24">
        <v>4.4000000000000004</v>
      </c>
      <c r="L837" s="26"/>
      <c r="M837" s="26">
        <v>7</v>
      </c>
      <c r="N837" s="27" t="s">
        <v>110</v>
      </c>
      <c r="O837" s="28" t="s">
        <v>726</v>
      </c>
    </row>
    <row r="838" spans="1:15" ht="60" x14ac:dyDescent="0.25">
      <c r="A838">
        <v>9183</v>
      </c>
      <c r="B838" s="24">
        <v>18</v>
      </c>
      <c r="C838" s="29" t="s">
        <v>0</v>
      </c>
      <c r="D838">
        <v>2017</v>
      </c>
      <c r="E838" s="24">
        <v>28</v>
      </c>
      <c r="F838" s="25">
        <v>49.23</v>
      </c>
      <c r="G838" s="24">
        <v>0</v>
      </c>
      <c r="H838" s="26">
        <v>-30.626899999999999</v>
      </c>
      <c r="I838" s="25">
        <v>23.051100000000002</v>
      </c>
      <c r="J838" s="26" t="s">
        <v>1</v>
      </c>
      <c r="K838" s="24">
        <v>4.2</v>
      </c>
      <c r="L838" s="26"/>
      <c r="M838" s="26">
        <v>115</v>
      </c>
      <c r="N838" s="27" t="s">
        <v>6</v>
      </c>
      <c r="O838" s="28" t="s">
        <v>727</v>
      </c>
    </row>
    <row r="839" spans="1:15" ht="60" x14ac:dyDescent="0.25">
      <c r="A839">
        <v>9184</v>
      </c>
      <c r="B839" s="24">
        <v>18</v>
      </c>
      <c r="C839" s="29" t="s">
        <v>0</v>
      </c>
      <c r="D839">
        <v>2017</v>
      </c>
      <c r="E839" s="24">
        <v>30</v>
      </c>
      <c r="F839" s="25">
        <v>54.17</v>
      </c>
      <c r="G839" s="24">
        <v>13</v>
      </c>
      <c r="H839" s="26">
        <v>-22.410699999999999</v>
      </c>
      <c r="I839" s="25">
        <v>35.450600000000001</v>
      </c>
      <c r="J839" s="26" t="s">
        <v>1</v>
      </c>
      <c r="K839" s="24">
        <v>4.3</v>
      </c>
      <c r="L839" s="26">
        <v>4.5</v>
      </c>
      <c r="M839" s="26">
        <v>60</v>
      </c>
      <c r="N839" s="27" t="s">
        <v>26</v>
      </c>
      <c r="O839" s="28" t="s">
        <v>728</v>
      </c>
    </row>
    <row r="840" spans="1:15" ht="45" x14ac:dyDescent="0.25">
      <c r="A840">
        <v>9185</v>
      </c>
      <c r="B840" s="8">
        <v>18</v>
      </c>
      <c r="C840" s="29" t="s">
        <v>0</v>
      </c>
      <c r="D840">
        <v>2017</v>
      </c>
      <c r="E840" s="8">
        <v>18</v>
      </c>
      <c r="F840" s="9">
        <v>41.15</v>
      </c>
      <c r="G840" s="8">
        <v>15</v>
      </c>
      <c r="H840" s="11">
        <v>20.847000000000001</v>
      </c>
      <c r="I840" s="9">
        <v>-4.7706</v>
      </c>
      <c r="J840" s="11" t="s">
        <v>1</v>
      </c>
      <c r="K840" s="8">
        <v>4.0999999999999996</v>
      </c>
      <c r="L840" s="11"/>
      <c r="M840" s="11">
        <v>138</v>
      </c>
      <c r="N840" s="12" t="s">
        <v>15</v>
      </c>
      <c r="O840" s="13" t="s">
        <v>203</v>
      </c>
    </row>
    <row r="841" spans="1:15" ht="30" x14ac:dyDescent="0.25">
      <c r="A841">
        <v>9186</v>
      </c>
      <c r="B841" s="24">
        <v>19</v>
      </c>
      <c r="C841" s="29" t="s">
        <v>0</v>
      </c>
      <c r="D841">
        <v>2017</v>
      </c>
      <c r="E841" s="24">
        <v>39</v>
      </c>
      <c r="F841" s="25">
        <v>55.5</v>
      </c>
      <c r="G841" s="24">
        <v>13</v>
      </c>
      <c r="H841" s="26">
        <v>0.15459999999999999</v>
      </c>
      <c r="I841" s="25">
        <v>36.277200000000001</v>
      </c>
      <c r="J841" s="26" t="s">
        <v>1</v>
      </c>
      <c r="K841" s="24">
        <v>4.3</v>
      </c>
      <c r="L841" s="26"/>
      <c r="M841" s="26">
        <v>54</v>
      </c>
      <c r="N841" s="27" t="s">
        <v>13</v>
      </c>
      <c r="O841" s="28" t="s">
        <v>729</v>
      </c>
    </row>
    <row r="842" spans="1:15" ht="60" x14ac:dyDescent="0.25">
      <c r="A842">
        <v>9187</v>
      </c>
      <c r="B842" s="24">
        <v>19</v>
      </c>
      <c r="C842" s="29" t="s">
        <v>0</v>
      </c>
      <c r="D842">
        <v>2017</v>
      </c>
      <c r="E842" s="24">
        <v>50</v>
      </c>
      <c r="F842" s="25">
        <v>3.1</v>
      </c>
      <c r="G842" s="24">
        <v>15</v>
      </c>
      <c r="H842" s="26">
        <v>-28.461600000000001</v>
      </c>
      <c r="I842" s="25">
        <v>28.4742</v>
      </c>
      <c r="J842" s="26" t="s">
        <v>1</v>
      </c>
      <c r="K842" s="24">
        <v>4.2</v>
      </c>
      <c r="L842" s="26">
        <v>2.5</v>
      </c>
      <c r="M842" s="26">
        <v>1</v>
      </c>
      <c r="N842" s="27" t="s">
        <v>6</v>
      </c>
      <c r="O842" s="28" t="s">
        <v>607</v>
      </c>
    </row>
    <row r="843" spans="1:15" ht="60" x14ac:dyDescent="0.25">
      <c r="A843">
        <v>9188</v>
      </c>
      <c r="B843" s="24">
        <v>20</v>
      </c>
      <c r="C843" s="29" t="s">
        <v>0</v>
      </c>
      <c r="D843">
        <v>2017</v>
      </c>
      <c r="E843" s="24">
        <v>1</v>
      </c>
      <c r="F843" s="25">
        <v>36.450000000000003</v>
      </c>
      <c r="G843" s="24">
        <v>21</v>
      </c>
      <c r="H843" s="26">
        <v>33.816200000000002</v>
      </c>
      <c r="I843" s="25">
        <v>1.3923000000000001</v>
      </c>
      <c r="J843" s="26" t="s">
        <v>1</v>
      </c>
      <c r="K843" s="24">
        <v>3.7</v>
      </c>
      <c r="L843" s="26"/>
      <c r="M843" s="26">
        <v>139</v>
      </c>
      <c r="N843" s="27" t="s">
        <v>10</v>
      </c>
      <c r="O843" s="28" t="s">
        <v>593</v>
      </c>
    </row>
    <row r="844" spans="1:15" ht="60" x14ac:dyDescent="0.25">
      <c r="A844">
        <v>9189</v>
      </c>
      <c r="B844" s="24">
        <v>21</v>
      </c>
      <c r="C844" s="29" t="s">
        <v>0</v>
      </c>
      <c r="D844">
        <v>2017</v>
      </c>
      <c r="E844" s="24">
        <v>10</v>
      </c>
      <c r="F844" s="25">
        <v>30.7</v>
      </c>
      <c r="G844" s="24">
        <v>7</v>
      </c>
      <c r="H844" s="26">
        <v>-22.373999999999999</v>
      </c>
      <c r="I844" s="25">
        <v>25.188600000000001</v>
      </c>
      <c r="J844" s="26" t="s">
        <v>1</v>
      </c>
      <c r="K844" s="24">
        <v>4.3</v>
      </c>
      <c r="L844" s="26">
        <v>4.8</v>
      </c>
      <c r="M844" s="26">
        <v>87</v>
      </c>
      <c r="N844" s="27" t="s">
        <v>66</v>
      </c>
      <c r="O844" s="28" t="s">
        <v>612</v>
      </c>
    </row>
    <row r="845" spans="1:15" ht="45" x14ac:dyDescent="0.25">
      <c r="A845">
        <v>9190</v>
      </c>
      <c r="B845" s="8">
        <v>22</v>
      </c>
      <c r="C845" s="29" t="s">
        <v>0</v>
      </c>
      <c r="D845">
        <v>2017</v>
      </c>
      <c r="E845" s="8">
        <v>32</v>
      </c>
      <c r="F845" s="9">
        <v>7.04</v>
      </c>
      <c r="G845" s="8">
        <v>0</v>
      </c>
      <c r="H845" s="11">
        <v>13.774900000000001</v>
      </c>
      <c r="I845" s="9">
        <v>-7.2221000000000002</v>
      </c>
      <c r="J845" s="11" t="s">
        <v>1</v>
      </c>
      <c r="K845" s="8">
        <v>3.8</v>
      </c>
      <c r="L845" s="11"/>
      <c r="M845" s="11">
        <v>154</v>
      </c>
      <c r="N845" s="12" t="s">
        <v>15</v>
      </c>
      <c r="O845" s="13" t="s">
        <v>730</v>
      </c>
    </row>
    <row r="846" spans="1:15" ht="60" x14ac:dyDescent="0.25">
      <c r="A846">
        <v>9191</v>
      </c>
      <c r="B846" s="24">
        <v>22</v>
      </c>
      <c r="C846" s="29" t="s">
        <v>0</v>
      </c>
      <c r="D846">
        <v>2017</v>
      </c>
      <c r="E846" s="24">
        <v>41</v>
      </c>
      <c r="F846" s="25">
        <v>32.54</v>
      </c>
      <c r="G846" s="24">
        <v>8</v>
      </c>
      <c r="H846" s="26">
        <v>-29.405899999999999</v>
      </c>
      <c r="I846" s="25">
        <v>23.972100000000001</v>
      </c>
      <c r="J846" s="26" t="s">
        <v>1</v>
      </c>
      <c r="K846" s="24">
        <v>4</v>
      </c>
      <c r="L846" s="26"/>
      <c r="M846" s="26">
        <v>150</v>
      </c>
      <c r="N846" s="27" t="s">
        <v>6</v>
      </c>
      <c r="O846" s="28" t="s">
        <v>588</v>
      </c>
    </row>
    <row r="847" spans="1:15" ht="45" x14ac:dyDescent="0.25">
      <c r="A847">
        <v>9192</v>
      </c>
      <c r="B847" s="24">
        <v>22</v>
      </c>
      <c r="C847" s="29" t="s">
        <v>0</v>
      </c>
      <c r="D847">
        <v>2017</v>
      </c>
      <c r="E847" s="24">
        <v>48</v>
      </c>
      <c r="F847" s="25">
        <v>24.31</v>
      </c>
      <c r="G847" s="24">
        <v>12</v>
      </c>
      <c r="H847" s="26">
        <v>21.003299999999999</v>
      </c>
      <c r="I847" s="25">
        <v>32.5989</v>
      </c>
      <c r="J847" s="26" t="s">
        <v>1</v>
      </c>
      <c r="K847" s="24">
        <v>4.3</v>
      </c>
      <c r="L847" s="26"/>
      <c r="M847" s="26">
        <v>87</v>
      </c>
      <c r="N847" s="27" t="s">
        <v>117</v>
      </c>
      <c r="O847" s="28" t="s">
        <v>118</v>
      </c>
    </row>
    <row r="848" spans="1:15" ht="75" x14ac:dyDescent="0.25">
      <c r="A848">
        <v>9193</v>
      </c>
      <c r="B848" s="24">
        <v>22</v>
      </c>
      <c r="C848" s="29" t="s">
        <v>0</v>
      </c>
      <c r="D848">
        <v>2017</v>
      </c>
      <c r="E848" s="24">
        <v>51</v>
      </c>
      <c r="F848" s="25">
        <v>12.51</v>
      </c>
      <c r="G848" s="24">
        <v>12</v>
      </c>
      <c r="H848" s="26">
        <v>-19.408300000000001</v>
      </c>
      <c r="I848" s="25">
        <v>56.044499999999999</v>
      </c>
      <c r="J848" s="26" t="s">
        <v>1</v>
      </c>
      <c r="K848" s="24">
        <v>4.0999999999999996</v>
      </c>
      <c r="L848" s="26"/>
      <c r="M848" s="26">
        <v>29</v>
      </c>
      <c r="N848" s="27" t="s">
        <v>563</v>
      </c>
      <c r="O848" s="28" t="s">
        <v>731</v>
      </c>
    </row>
    <row r="849" spans="1:15" ht="75" x14ac:dyDescent="0.25">
      <c r="A849">
        <v>9194</v>
      </c>
      <c r="B849" s="24">
        <v>22</v>
      </c>
      <c r="C849" s="29" t="s">
        <v>0</v>
      </c>
      <c r="D849">
        <v>2017</v>
      </c>
      <c r="E849" s="24">
        <v>0</v>
      </c>
      <c r="F849" s="25">
        <v>38.799999999999997</v>
      </c>
      <c r="G849" s="24">
        <v>14</v>
      </c>
      <c r="H849" s="26">
        <v>-26.5215</v>
      </c>
      <c r="I849" s="25">
        <v>28.0883</v>
      </c>
      <c r="J849" s="26" t="s">
        <v>1</v>
      </c>
      <c r="K849" s="24">
        <v>4.2</v>
      </c>
      <c r="L849" s="26">
        <v>2.6</v>
      </c>
      <c r="M849" s="26">
        <v>157</v>
      </c>
      <c r="N849" s="27" t="s">
        <v>693</v>
      </c>
      <c r="O849" s="28" t="s">
        <v>732</v>
      </c>
    </row>
    <row r="850" spans="1:15" ht="45" x14ac:dyDescent="0.25">
      <c r="A850">
        <v>9195</v>
      </c>
      <c r="B850" s="24">
        <v>23</v>
      </c>
      <c r="C850" s="29" t="s">
        <v>0</v>
      </c>
      <c r="D850">
        <v>2017</v>
      </c>
      <c r="E850" s="24">
        <v>21</v>
      </c>
      <c r="F850" s="25">
        <v>19.510000000000002</v>
      </c>
      <c r="G850" s="24">
        <v>8</v>
      </c>
      <c r="H850" s="26">
        <v>30.952100000000002</v>
      </c>
      <c r="I850" s="25">
        <v>20.232800000000001</v>
      </c>
      <c r="J850" s="26" t="s">
        <v>1</v>
      </c>
      <c r="K850" s="24">
        <v>3.6</v>
      </c>
      <c r="L850" s="26"/>
      <c r="M850" s="26">
        <v>130</v>
      </c>
      <c r="N850" s="27" t="s">
        <v>135</v>
      </c>
      <c r="O850" s="28" t="s">
        <v>338</v>
      </c>
    </row>
    <row r="851" spans="1:15" ht="45" x14ac:dyDescent="0.25">
      <c r="A851">
        <v>9196</v>
      </c>
      <c r="B851" s="8">
        <v>23</v>
      </c>
      <c r="C851" s="29" t="s">
        <v>0</v>
      </c>
      <c r="D851">
        <v>2017</v>
      </c>
      <c r="E851" s="8">
        <v>27</v>
      </c>
      <c r="F851" s="9">
        <v>19.239999999999998</v>
      </c>
      <c r="G851" s="8">
        <v>13</v>
      </c>
      <c r="H851" s="11">
        <v>15.537100000000001</v>
      </c>
      <c r="I851" s="9">
        <v>7.0750999999999999</v>
      </c>
      <c r="J851" s="11" t="s">
        <v>1</v>
      </c>
      <c r="K851" s="8">
        <v>3.9</v>
      </c>
      <c r="L851" s="11"/>
      <c r="M851" s="11">
        <v>98</v>
      </c>
      <c r="N851" s="12" t="s">
        <v>15</v>
      </c>
      <c r="O851" s="13" t="s">
        <v>733</v>
      </c>
    </row>
    <row r="852" spans="1:15" ht="45" x14ac:dyDescent="0.25">
      <c r="A852">
        <v>9197</v>
      </c>
      <c r="B852" s="24">
        <v>23</v>
      </c>
      <c r="C852" s="29" t="s">
        <v>0</v>
      </c>
      <c r="D852">
        <v>2017</v>
      </c>
      <c r="E852" s="24">
        <v>40</v>
      </c>
      <c r="F852" s="25">
        <v>14.99</v>
      </c>
      <c r="G852" s="24">
        <v>21</v>
      </c>
      <c r="H852" s="26">
        <v>-0.89959999999999996</v>
      </c>
      <c r="I852" s="25">
        <v>38.502699999999997</v>
      </c>
      <c r="J852" s="26" t="s">
        <v>1</v>
      </c>
      <c r="K852" s="24">
        <v>4.2</v>
      </c>
      <c r="L852" s="26"/>
      <c r="M852" s="26">
        <v>167</v>
      </c>
      <c r="N852" s="27" t="s">
        <v>13</v>
      </c>
      <c r="O852" s="28" t="s">
        <v>45</v>
      </c>
    </row>
    <row r="853" spans="1:15" ht="60" x14ac:dyDescent="0.25">
      <c r="A853">
        <v>9198</v>
      </c>
      <c r="B853" s="24">
        <v>24</v>
      </c>
      <c r="C853" s="29" t="s">
        <v>0</v>
      </c>
      <c r="D853">
        <v>2017</v>
      </c>
      <c r="E853" s="24">
        <v>37</v>
      </c>
      <c r="F853" s="25">
        <v>14.17</v>
      </c>
      <c r="G853" s="24">
        <v>2</v>
      </c>
      <c r="H853" s="26">
        <v>-19.497900000000001</v>
      </c>
      <c r="I853" s="25">
        <v>34.456400000000002</v>
      </c>
      <c r="J853" s="26" t="s">
        <v>1</v>
      </c>
      <c r="K853" s="24">
        <v>4.5999999999999996</v>
      </c>
      <c r="L853" s="26">
        <v>5.4</v>
      </c>
      <c r="M853" s="26">
        <v>90</v>
      </c>
      <c r="N853" s="27" t="s">
        <v>26</v>
      </c>
      <c r="O853" s="28" t="s">
        <v>734</v>
      </c>
    </row>
    <row r="854" spans="1:15" ht="45" x14ac:dyDescent="0.25">
      <c r="A854">
        <v>9199</v>
      </c>
      <c r="B854" s="24">
        <v>24</v>
      </c>
      <c r="C854" s="29" t="s">
        <v>0</v>
      </c>
      <c r="D854">
        <v>2017</v>
      </c>
      <c r="E854" s="24">
        <v>37</v>
      </c>
      <c r="F854" s="25">
        <v>29.59</v>
      </c>
      <c r="G854" s="24">
        <v>2</v>
      </c>
      <c r="H854" s="26">
        <v>-17.678899999999999</v>
      </c>
      <c r="I854" s="25">
        <v>32.369399999999999</v>
      </c>
      <c r="J854" s="26" t="s">
        <v>1</v>
      </c>
      <c r="K854" s="24">
        <v>4.8</v>
      </c>
      <c r="L854" s="26">
        <v>5.8</v>
      </c>
      <c r="M854" s="26">
        <v>113</v>
      </c>
      <c r="N854" s="27" t="s">
        <v>237</v>
      </c>
      <c r="O854" s="28" t="s">
        <v>735</v>
      </c>
    </row>
    <row r="855" spans="1:15" ht="60" x14ac:dyDescent="0.25">
      <c r="A855">
        <v>9200</v>
      </c>
      <c r="B855" s="24">
        <v>24</v>
      </c>
      <c r="C855" s="29" t="s">
        <v>0</v>
      </c>
      <c r="D855">
        <v>2017</v>
      </c>
      <c r="E855" s="24">
        <v>39</v>
      </c>
      <c r="F855" s="25">
        <v>33.15</v>
      </c>
      <c r="G855" s="24">
        <v>2</v>
      </c>
      <c r="H855" s="26">
        <v>-16.580300000000001</v>
      </c>
      <c r="I855" s="25">
        <v>31.1526</v>
      </c>
      <c r="J855" s="26" t="s">
        <v>1</v>
      </c>
      <c r="K855" s="24">
        <v>4.8</v>
      </c>
      <c r="L855" s="26">
        <v>5.8</v>
      </c>
      <c r="M855" s="26">
        <v>106</v>
      </c>
      <c r="N855" s="27" t="s">
        <v>237</v>
      </c>
      <c r="O855" s="28" t="s">
        <v>736</v>
      </c>
    </row>
    <row r="856" spans="1:15" ht="60" x14ac:dyDescent="0.25">
      <c r="A856">
        <v>9201</v>
      </c>
      <c r="B856" s="24">
        <v>24</v>
      </c>
      <c r="C856" s="29" t="s">
        <v>0</v>
      </c>
      <c r="D856">
        <v>2017</v>
      </c>
      <c r="E856" s="24">
        <v>38</v>
      </c>
      <c r="F856" s="25">
        <v>9.7799999999999994</v>
      </c>
      <c r="G856" s="24">
        <v>11</v>
      </c>
      <c r="H856" s="26">
        <v>-30.551600000000001</v>
      </c>
      <c r="I856" s="25">
        <v>25.208400000000001</v>
      </c>
      <c r="J856" s="26" t="s">
        <v>1</v>
      </c>
      <c r="K856" s="24">
        <v>4.2</v>
      </c>
      <c r="L856" s="26"/>
      <c r="M856" s="26">
        <v>93</v>
      </c>
      <c r="N856" s="27" t="s">
        <v>6</v>
      </c>
      <c r="O856" s="28" t="s">
        <v>737</v>
      </c>
    </row>
    <row r="857" spans="1:15" ht="75" x14ac:dyDescent="0.25">
      <c r="A857">
        <v>9202</v>
      </c>
      <c r="B857" s="24">
        <v>24</v>
      </c>
      <c r="C857" s="29" t="s">
        <v>0</v>
      </c>
      <c r="D857">
        <v>2017</v>
      </c>
      <c r="E857" s="24">
        <v>4</v>
      </c>
      <c r="F857" s="25">
        <v>27.89</v>
      </c>
      <c r="G857" s="24">
        <v>21</v>
      </c>
      <c r="H857" s="26">
        <v>-27.248699999999999</v>
      </c>
      <c r="I857" s="25">
        <v>24.8566</v>
      </c>
      <c r="J857" s="26" t="s">
        <v>1</v>
      </c>
      <c r="K857" s="24">
        <v>4</v>
      </c>
      <c r="L857" s="26"/>
      <c r="M857" s="26">
        <v>52</v>
      </c>
      <c r="N857" s="27" t="s">
        <v>6</v>
      </c>
      <c r="O857" s="28" t="s">
        <v>738</v>
      </c>
    </row>
    <row r="858" spans="1:15" ht="60" x14ac:dyDescent="0.25">
      <c r="A858">
        <v>9203</v>
      </c>
      <c r="B858" s="24">
        <v>24</v>
      </c>
      <c r="C858" s="29" t="s">
        <v>0</v>
      </c>
      <c r="D858">
        <v>2017</v>
      </c>
      <c r="E858" s="24">
        <v>49</v>
      </c>
      <c r="F858" s="25">
        <v>59.63</v>
      </c>
      <c r="G858" s="24">
        <v>22</v>
      </c>
      <c r="H858" s="26">
        <v>-27.005400000000002</v>
      </c>
      <c r="I858" s="25">
        <v>22.771599999999999</v>
      </c>
      <c r="J858" s="26" t="s">
        <v>1</v>
      </c>
      <c r="K858" s="24">
        <v>4.2</v>
      </c>
      <c r="L858" s="26"/>
      <c r="M858" s="26">
        <v>48</v>
      </c>
      <c r="N858" s="27" t="s">
        <v>6</v>
      </c>
      <c r="O858" s="28" t="s">
        <v>739</v>
      </c>
    </row>
    <row r="859" spans="1:15" ht="30" x14ac:dyDescent="0.25">
      <c r="A859">
        <v>9204</v>
      </c>
      <c r="B859" s="24">
        <v>25</v>
      </c>
      <c r="C859" s="29" t="s">
        <v>0</v>
      </c>
      <c r="D859">
        <v>2017</v>
      </c>
      <c r="E859" s="24">
        <v>29</v>
      </c>
      <c r="F859" s="25">
        <v>21.09</v>
      </c>
      <c r="G859" s="24">
        <v>1</v>
      </c>
      <c r="H859" s="26">
        <v>16.797599999999999</v>
      </c>
      <c r="I859" s="25">
        <v>34.501600000000003</v>
      </c>
      <c r="J859" s="26" t="s">
        <v>1</v>
      </c>
      <c r="K859" s="24">
        <v>4</v>
      </c>
      <c r="L859" s="26"/>
      <c r="M859" s="26">
        <v>90</v>
      </c>
      <c r="N859" s="27" t="s">
        <v>117</v>
      </c>
      <c r="O859" s="28" t="s">
        <v>740</v>
      </c>
    </row>
    <row r="860" spans="1:15" ht="60" x14ac:dyDescent="0.25">
      <c r="A860">
        <v>9205</v>
      </c>
      <c r="B860" s="24">
        <v>26</v>
      </c>
      <c r="C860" s="29" t="s">
        <v>0</v>
      </c>
      <c r="D860">
        <v>2017</v>
      </c>
      <c r="E860" s="24">
        <v>53</v>
      </c>
      <c r="F860" s="25">
        <v>13.62</v>
      </c>
      <c r="G860" s="24">
        <v>12</v>
      </c>
      <c r="H860" s="26">
        <v>-26.291599999999999</v>
      </c>
      <c r="I860" s="25">
        <v>30.732099999999999</v>
      </c>
      <c r="J860" s="26" t="s">
        <v>1</v>
      </c>
      <c r="K860" s="24">
        <v>3.7</v>
      </c>
      <c r="L860" s="26">
        <v>3.6</v>
      </c>
      <c r="M860" s="26">
        <v>146</v>
      </c>
      <c r="N860" s="27" t="s">
        <v>6</v>
      </c>
      <c r="O860" s="28" t="s">
        <v>741</v>
      </c>
    </row>
    <row r="861" spans="1:15" ht="90" x14ac:dyDescent="0.25">
      <c r="A861">
        <v>9206</v>
      </c>
      <c r="B861" s="24">
        <v>26</v>
      </c>
      <c r="C861" s="29" t="s">
        <v>0</v>
      </c>
      <c r="D861">
        <v>2017</v>
      </c>
      <c r="E861" s="24">
        <v>53</v>
      </c>
      <c r="F861" s="25">
        <v>26.41</v>
      </c>
      <c r="G861" s="24">
        <v>14</v>
      </c>
      <c r="H861" s="26">
        <v>-35.086500000000001</v>
      </c>
      <c r="I861" s="25">
        <v>34.058900000000001</v>
      </c>
      <c r="J861" s="26" t="s">
        <v>1</v>
      </c>
      <c r="K861" s="24">
        <v>4.3</v>
      </c>
      <c r="L861" s="26"/>
      <c r="M861" s="26">
        <v>156</v>
      </c>
      <c r="N861" s="27" t="s">
        <v>24</v>
      </c>
      <c r="O861" s="28" t="s">
        <v>253</v>
      </c>
    </row>
    <row r="862" spans="1:15" ht="60" x14ac:dyDescent="0.25">
      <c r="A862">
        <v>9207</v>
      </c>
      <c r="B862" s="8">
        <v>26</v>
      </c>
      <c r="C862" s="29" t="s">
        <v>0</v>
      </c>
      <c r="D862">
        <v>2017</v>
      </c>
      <c r="E862" s="8">
        <v>52</v>
      </c>
      <c r="F862" s="9">
        <v>23.75</v>
      </c>
      <c r="G862" s="8">
        <v>20</v>
      </c>
      <c r="H862" s="11">
        <v>10.5806</v>
      </c>
      <c r="I862" s="9">
        <v>-11.1366</v>
      </c>
      <c r="J862" s="11" t="s">
        <v>1</v>
      </c>
      <c r="K862" s="8">
        <v>4.0999999999999996</v>
      </c>
      <c r="L862" s="11"/>
      <c r="M862" s="11">
        <v>128</v>
      </c>
      <c r="N862" s="12" t="s">
        <v>15</v>
      </c>
      <c r="O862" s="13" t="s">
        <v>742</v>
      </c>
    </row>
    <row r="863" spans="1:15" ht="60" x14ac:dyDescent="0.25">
      <c r="A863">
        <v>9208</v>
      </c>
      <c r="B863" s="24">
        <v>27</v>
      </c>
      <c r="C863" s="29" t="s">
        <v>0</v>
      </c>
      <c r="D863">
        <v>2017</v>
      </c>
      <c r="E863" s="24">
        <v>4</v>
      </c>
      <c r="F863" s="25">
        <v>25.75</v>
      </c>
      <c r="G863" s="24">
        <v>0</v>
      </c>
      <c r="H863" s="26">
        <v>-30.049800000000001</v>
      </c>
      <c r="I863" s="25">
        <v>26.966899999999999</v>
      </c>
      <c r="J863" s="26" t="s">
        <v>1</v>
      </c>
      <c r="K863" s="24">
        <v>4.2</v>
      </c>
      <c r="L863" s="26"/>
      <c r="M863" s="26">
        <v>55</v>
      </c>
      <c r="N863" s="27" t="s">
        <v>6</v>
      </c>
      <c r="O863" s="28" t="s">
        <v>393</v>
      </c>
    </row>
    <row r="864" spans="1:15" ht="60" x14ac:dyDescent="0.25">
      <c r="A864">
        <v>9209</v>
      </c>
      <c r="B864" s="24">
        <v>27</v>
      </c>
      <c r="C864" s="29" t="s">
        <v>0</v>
      </c>
      <c r="D864">
        <v>2017</v>
      </c>
      <c r="E864" s="24">
        <v>40</v>
      </c>
      <c r="F864" s="25">
        <v>50.85</v>
      </c>
      <c r="G864" s="24">
        <v>5</v>
      </c>
      <c r="H864" s="26">
        <v>36.435400000000001</v>
      </c>
      <c r="I864" s="25">
        <v>4.0903999999999998</v>
      </c>
      <c r="J864" s="26" t="s">
        <v>1</v>
      </c>
      <c r="K864" s="24"/>
      <c r="L864" s="26">
        <v>4.0999999999999996</v>
      </c>
      <c r="M864" s="26">
        <v>27</v>
      </c>
      <c r="N864" s="27" t="s">
        <v>10</v>
      </c>
      <c r="O864" s="28" t="s">
        <v>743</v>
      </c>
    </row>
    <row r="865" spans="1:15" ht="60" x14ac:dyDescent="0.25">
      <c r="A865">
        <v>9210</v>
      </c>
      <c r="B865" s="24">
        <v>28</v>
      </c>
      <c r="C865" s="29" t="s">
        <v>0</v>
      </c>
      <c r="D865">
        <v>2017</v>
      </c>
      <c r="E865" s="24">
        <v>25</v>
      </c>
      <c r="F865" s="25">
        <v>51.78</v>
      </c>
      <c r="G865" s="24">
        <v>15</v>
      </c>
      <c r="H865" s="26">
        <v>-25.5124</v>
      </c>
      <c r="I865" s="25">
        <v>26.930499999999999</v>
      </c>
      <c r="J865" s="26" t="s">
        <v>1</v>
      </c>
      <c r="K865" s="24">
        <v>4.0999999999999996</v>
      </c>
      <c r="L865" s="26">
        <v>3.2</v>
      </c>
      <c r="M865" s="26">
        <v>105</v>
      </c>
      <c r="N865" s="27" t="s">
        <v>6</v>
      </c>
      <c r="O865" s="28" t="s">
        <v>744</v>
      </c>
    </row>
    <row r="866" spans="1:15" ht="45" x14ac:dyDescent="0.25">
      <c r="A866">
        <v>9211</v>
      </c>
      <c r="B866" s="24">
        <v>28</v>
      </c>
      <c r="C866" s="29" t="s">
        <v>0</v>
      </c>
      <c r="D866">
        <v>2017</v>
      </c>
      <c r="E866" s="24">
        <v>42</v>
      </c>
      <c r="F866" s="25">
        <v>29.02</v>
      </c>
      <c r="G866" s="24">
        <v>18</v>
      </c>
      <c r="H866" s="26">
        <v>20.110800000000001</v>
      </c>
      <c r="I866" s="25">
        <v>39.208199999999998</v>
      </c>
      <c r="J866" s="26" t="s">
        <v>1</v>
      </c>
      <c r="K866" s="24">
        <v>3.9</v>
      </c>
      <c r="L866" s="26"/>
      <c r="M866" s="26">
        <v>123</v>
      </c>
      <c r="N866" s="27" t="s">
        <v>117</v>
      </c>
      <c r="O866" s="28" t="s">
        <v>745</v>
      </c>
    </row>
    <row r="867" spans="1:15" ht="45" x14ac:dyDescent="0.25">
      <c r="A867">
        <v>9212</v>
      </c>
      <c r="B867" s="8">
        <v>28</v>
      </c>
      <c r="C867" s="29" t="s">
        <v>0</v>
      </c>
      <c r="D867">
        <v>2017</v>
      </c>
      <c r="E867" s="8">
        <v>18</v>
      </c>
      <c r="F867" s="9">
        <v>49.57</v>
      </c>
      <c r="G867" s="8">
        <v>23</v>
      </c>
      <c r="H867" s="11">
        <v>20.1478</v>
      </c>
      <c r="I867" s="9">
        <v>10.5115</v>
      </c>
      <c r="J867" s="11" t="s">
        <v>1</v>
      </c>
      <c r="K867" s="8">
        <v>3.5</v>
      </c>
      <c r="L867" s="11">
        <v>2.6</v>
      </c>
      <c r="M867" s="11">
        <v>126</v>
      </c>
      <c r="N867" s="12" t="s">
        <v>15</v>
      </c>
      <c r="O867" s="13" t="s">
        <v>746</v>
      </c>
    </row>
    <row r="868" spans="1:15" ht="75" x14ac:dyDescent="0.25">
      <c r="A868">
        <v>9213</v>
      </c>
      <c r="B868" s="24">
        <v>29</v>
      </c>
      <c r="C868" s="29" t="s">
        <v>0</v>
      </c>
      <c r="D868">
        <v>2017</v>
      </c>
      <c r="E868" s="24">
        <v>14</v>
      </c>
      <c r="F868" s="25">
        <v>19.87</v>
      </c>
      <c r="G868" s="24">
        <v>7</v>
      </c>
      <c r="H868" s="26">
        <v>-32.072400000000002</v>
      </c>
      <c r="I868" s="25">
        <v>17.5671</v>
      </c>
      <c r="J868" s="26" t="s">
        <v>1</v>
      </c>
      <c r="K868" s="24">
        <v>4.2</v>
      </c>
      <c r="L868" s="26"/>
      <c r="M868" s="26">
        <v>105</v>
      </c>
      <c r="N868" s="27" t="s">
        <v>6</v>
      </c>
      <c r="O868" s="28" t="s">
        <v>747</v>
      </c>
    </row>
    <row r="869" spans="1:15" ht="60" x14ac:dyDescent="0.25">
      <c r="A869">
        <v>9214</v>
      </c>
      <c r="B869" s="24">
        <v>29</v>
      </c>
      <c r="C869" s="29" t="s">
        <v>0</v>
      </c>
      <c r="D869">
        <v>2017</v>
      </c>
      <c r="E869" s="24">
        <v>5</v>
      </c>
      <c r="F869" s="25">
        <v>53.45</v>
      </c>
      <c r="G869" s="24">
        <v>14</v>
      </c>
      <c r="H869" s="26">
        <v>-26.9054</v>
      </c>
      <c r="I869" s="25">
        <v>28.8078</v>
      </c>
      <c r="J869" s="26" t="s">
        <v>1</v>
      </c>
      <c r="K869" s="24">
        <v>3.9</v>
      </c>
      <c r="L869" s="26">
        <v>2.7</v>
      </c>
      <c r="M869" s="26">
        <v>133</v>
      </c>
      <c r="N869" s="27" t="s">
        <v>6</v>
      </c>
      <c r="O869" s="28" t="s">
        <v>748</v>
      </c>
    </row>
    <row r="870" spans="1:15" ht="105" x14ac:dyDescent="0.25">
      <c r="A870">
        <v>9215</v>
      </c>
      <c r="B870" s="24">
        <v>29</v>
      </c>
      <c r="C870" s="29" t="s">
        <v>0</v>
      </c>
      <c r="D870">
        <v>2017</v>
      </c>
      <c r="E870" s="24">
        <v>41</v>
      </c>
      <c r="F870" s="25">
        <v>31.79</v>
      </c>
      <c r="G870" s="24">
        <v>22</v>
      </c>
      <c r="H870" s="26">
        <v>27.1068</v>
      </c>
      <c r="I870" s="25">
        <v>28.556100000000001</v>
      </c>
      <c r="J870" s="26" t="s">
        <v>1</v>
      </c>
      <c r="K870" s="24">
        <v>4.0999999999999996</v>
      </c>
      <c r="L870" s="26"/>
      <c r="M870" s="26">
        <v>20</v>
      </c>
      <c r="N870" s="27" t="s">
        <v>72</v>
      </c>
      <c r="O870" s="28" t="s">
        <v>682</v>
      </c>
    </row>
    <row r="871" spans="1:15" ht="150" x14ac:dyDescent="0.25">
      <c r="A871">
        <v>9216</v>
      </c>
      <c r="B871" s="24">
        <v>1</v>
      </c>
      <c r="C871" s="56" t="s">
        <v>103</v>
      </c>
      <c r="D871">
        <v>2017</v>
      </c>
      <c r="E871" s="24">
        <v>25</v>
      </c>
      <c r="F871" s="25">
        <v>6.77</v>
      </c>
      <c r="G871" s="24">
        <v>16</v>
      </c>
      <c r="H871" s="26">
        <v>-2.1747999999999998</v>
      </c>
      <c r="I871" s="25">
        <v>22.229900000000001</v>
      </c>
      <c r="J871" s="26" t="s">
        <v>1</v>
      </c>
      <c r="K871" s="24">
        <v>3.9</v>
      </c>
      <c r="L871" s="26"/>
      <c r="M871" s="26">
        <v>67</v>
      </c>
      <c r="N871" s="27" t="s">
        <v>8</v>
      </c>
      <c r="O871" s="28" t="s">
        <v>749</v>
      </c>
    </row>
    <row r="872" spans="1:15" ht="60" x14ac:dyDescent="0.25">
      <c r="A872">
        <v>9217</v>
      </c>
      <c r="B872" s="24">
        <v>2</v>
      </c>
      <c r="C872" s="56" t="s">
        <v>103</v>
      </c>
      <c r="D872">
        <v>2017</v>
      </c>
      <c r="E872" s="24">
        <v>53</v>
      </c>
      <c r="F872" s="25">
        <v>52.11</v>
      </c>
      <c r="G872" s="24">
        <v>2</v>
      </c>
      <c r="H872" s="26">
        <v>-26.733799999999999</v>
      </c>
      <c r="I872" s="25">
        <v>26.712900000000001</v>
      </c>
      <c r="J872" s="26" t="s">
        <v>1</v>
      </c>
      <c r="K872" s="24">
        <v>4</v>
      </c>
      <c r="L872" s="26"/>
      <c r="M872" s="26">
        <v>113</v>
      </c>
      <c r="N872" s="27" t="s">
        <v>6</v>
      </c>
      <c r="O872" s="28" t="s">
        <v>494</v>
      </c>
    </row>
    <row r="873" spans="1:15" ht="45" x14ac:dyDescent="0.25">
      <c r="A873">
        <v>9218</v>
      </c>
      <c r="B873" s="8">
        <v>3</v>
      </c>
      <c r="C873" s="56" t="s">
        <v>103</v>
      </c>
      <c r="D873">
        <v>2017</v>
      </c>
      <c r="E873" s="8">
        <v>52</v>
      </c>
      <c r="F873" s="9">
        <v>21.2</v>
      </c>
      <c r="G873" s="8">
        <v>13</v>
      </c>
      <c r="H873" s="11">
        <v>14.687900000000001</v>
      </c>
      <c r="I873" s="9">
        <v>-0.11</v>
      </c>
      <c r="J873" s="11" t="s">
        <v>1</v>
      </c>
      <c r="K873" s="8">
        <v>4.2</v>
      </c>
      <c r="L873" s="11"/>
      <c r="M873" s="11">
        <v>63</v>
      </c>
      <c r="N873" s="12" t="s">
        <v>15</v>
      </c>
      <c r="O873" s="13" t="s">
        <v>684</v>
      </c>
    </row>
    <row r="874" spans="1:15" ht="60" x14ac:dyDescent="0.25">
      <c r="A874">
        <v>9219</v>
      </c>
      <c r="B874" s="24">
        <v>3</v>
      </c>
      <c r="C874" s="56" t="s">
        <v>103</v>
      </c>
      <c r="D874">
        <v>2017</v>
      </c>
      <c r="E874" s="24">
        <v>8</v>
      </c>
      <c r="F874" s="25">
        <v>50.13</v>
      </c>
      <c r="G874" s="24">
        <v>14</v>
      </c>
      <c r="H874" s="26">
        <v>-25.540900000000001</v>
      </c>
      <c r="I874" s="25">
        <v>31.0578</v>
      </c>
      <c r="J874" s="26" t="s">
        <v>1</v>
      </c>
      <c r="K874" s="24">
        <v>4</v>
      </c>
      <c r="L874" s="26">
        <v>3.4</v>
      </c>
      <c r="M874" s="26">
        <v>171</v>
      </c>
      <c r="N874" s="27" t="s">
        <v>6</v>
      </c>
      <c r="O874" s="28" t="s">
        <v>750</v>
      </c>
    </row>
    <row r="875" spans="1:15" ht="60" x14ac:dyDescent="0.25">
      <c r="A875">
        <v>9220</v>
      </c>
      <c r="B875" s="24">
        <v>4</v>
      </c>
      <c r="C875" s="56" t="s">
        <v>103</v>
      </c>
      <c r="D875">
        <v>2017</v>
      </c>
      <c r="E875" s="24">
        <v>37</v>
      </c>
      <c r="F875" s="25">
        <v>4.96</v>
      </c>
      <c r="G875" s="24">
        <v>11</v>
      </c>
      <c r="H875" s="26">
        <v>-22.3231</v>
      </c>
      <c r="I875" s="25">
        <v>24.8749</v>
      </c>
      <c r="J875" s="26" t="s">
        <v>1</v>
      </c>
      <c r="K875" s="24">
        <v>4.5999999999999996</v>
      </c>
      <c r="L875" s="26">
        <v>4.8</v>
      </c>
      <c r="M875" s="26">
        <v>83</v>
      </c>
      <c r="N875" s="27" t="s">
        <v>66</v>
      </c>
      <c r="O875" s="28" t="s">
        <v>588</v>
      </c>
    </row>
    <row r="876" spans="1:15" ht="45" x14ac:dyDescent="0.25">
      <c r="A876">
        <v>9221</v>
      </c>
      <c r="B876" s="8">
        <v>4</v>
      </c>
      <c r="C876" s="56" t="s">
        <v>103</v>
      </c>
      <c r="D876">
        <v>2017</v>
      </c>
      <c r="E876" s="8">
        <v>29</v>
      </c>
      <c r="F876" s="9">
        <v>12.12</v>
      </c>
      <c r="G876" s="8">
        <v>12</v>
      </c>
      <c r="H876" s="11">
        <v>23.506</v>
      </c>
      <c r="I876" s="9">
        <v>-10.9984</v>
      </c>
      <c r="J876" s="11" t="s">
        <v>1</v>
      </c>
      <c r="K876" s="8">
        <v>4</v>
      </c>
      <c r="L876" s="11">
        <v>3.5</v>
      </c>
      <c r="M876" s="11">
        <v>144</v>
      </c>
      <c r="N876" s="12" t="s">
        <v>15</v>
      </c>
      <c r="O876" s="13" t="s">
        <v>172</v>
      </c>
    </row>
    <row r="877" spans="1:15" ht="60" x14ac:dyDescent="0.25">
      <c r="A877">
        <v>9222</v>
      </c>
      <c r="B877" s="24">
        <v>5</v>
      </c>
      <c r="C877" s="56" t="s">
        <v>103</v>
      </c>
      <c r="D877">
        <v>2017</v>
      </c>
      <c r="E877" s="24">
        <v>27</v>
      </c>
      <c r="F877" s="25">
        <v>34.909999999999997</v>
      </c>
      <c r="G877" s="24">
        <v>3</v>
      </c>
      <c r="H877" s="26">
        <v>34.444899999999997</v>
      </c>
      <c r="I877" s="25">
        <v>-2.6219000000000001</v>
      </c>
      <c r="J877" s="26" t="s">
        <v>1</v>
      </c>
      <c r="K877" s="24">
        <v>3.6</v>
      </c>
      <c r="L877" s="26"/>
      <c r="M877" s="26">
        <v>164</v>
      </c>
      <c r="N877" s="27" t="s">
        <v>28</v>
      </c>
      <c r="O877" s="28" t="s">
        <v>751</v>
      </c>
    </row>
    <row r="878" spans="1:15" ht="30" x14ac:dyDescent="0.25">
      <c r="A878">
        <v>9223</v>
      </c>
      <c r="B878" s="24">
        <v>5</v>
      </c>
      <c r="C878" s="56" t="s">
        <v>103</v>
      </c>
      <c r="D878">
        <v>2017</v>
      </c>
      <c r="E878" s="24">
        <v>22</v>
      </c>
      <c r="F878" s="25">
        <v>59.51</v>
      </c>
      <c r="G878" s="24">
        <v>7</v>
      </c>
      <c r="H878" s="26">
        <v>33.404400000000003</v>
      </c>
      <c r="I878" s="25">
        <v>9.1425999999999998</v>
      </c>
      <c r="J878" s="26" t="s">
        <v>1</v>
      </c>
      <c r="K878" s="24">
        <v>4</v>
      </c>
      <c r="L878" s="26"/>
      <c r="M878" s="26">
        <v>1</v>
      </c>
      <c r="N878" s="27" t="s">
        <v>2</v>
      </c>
      <c r="O878" s="28" t="s">
        <v>752</v>
      </c>
    </row>
    <row r="879" spans="1:15" ht="60" x14ac:dyDescent="0.25">
      <c r="A879">
        <v>9224</v>
      </c>
      <c r="B879" s="24">
        <v>6</v>
      </c>
      <c r="C879" s="56" t="s">
        <v>103</v>
      </c>
      <c r="D879">
        <v>2017</v>
      </c>
      <c r="E879" s="24">
        <v>17</v>
      </c>
      <c r="F879" s="25">
        <v>8.06</v>
      </c>
      <c r="G879" s="24">
        <v>13</v>
      </c>
      <c r="H879" s="26">
        <v>-26.749500000000001</v>
      </c>
      <c r="I879" s="25">
        <v>30.881900000000002</v>
      </c>
      <c r="J879" s="26" t="s">
        <v>1</v>
      </c>
      <c r="K879" s="24">
        <v>3.6</v>
      </c>
      <c r="L879" s="26">
        <v>3.2</v>
      </c>
      <c r="M879" s="26">
        <v>173</v>
      </c>
      <c r="N879" s="27" t="s">
        <v>6</v>
      </c>
      <c r="O879" s="28" t="s">
        <v>753</v>
      </c>
    </row>
    <row r="880" spans="1:15" ht="30" x14ac:dyDescent="0.25">
      <c r="A880">
        <v>9225</v>
      </c>
      <c r="B880" s="24">
        <v>7</v>
      </c>
      <c r="C880" s="56" t="s">
        <v>103</v>
      </c>
      <c r="D880">
        <v>2017</v>
      </c>
      <c r="E880" s="24">
        <v>10</v>
      </c>
      <c r="F880" s="25">
        <v>25.92</v>
      </c>
      <c r="G880" s="24">
        <v>4</v>
      </c>
      <c r="H880" s="26">
        <v>19.093599999999999</v>
      </c>
      <c r="I880" s="25">
        <v>16.517900000000001</v>
      </c>
      <c r="J880" s="26" t="s">
        <v>1</v>
      </c>
      <c r="K880" s="24">
        <v>4.0999999999999996</v>
      </c>
      <c r="L880" s="26"/>
      <c r="M880" s="26">
        <v>103</v>
      </c>
      <c r="N880" s="27" t="s">
        <v>139</v>
      </c>
      <c r="O880" s="28" t="s">
        <v>754</v>
      </c>
    </row>
    <row r="881" spans="1:15" ht="75" x14ac:dyDescent="0.25">
      <c r="A881">
        <v>9226</v>
      </c>
      <c r="B881" s="24">
        <v>7</v>
      </c>
      <c r="C881" s="56" t="s">
        <v>103</v>
      </c>
      <c r="D881">
        <v>2017</v>
      </c>
      <c r="E881" s="24">
        <v>37</v>
      </c>
      <c r="F881" s="25">
        <v>14.6</v>
      </c>
      <c r="G881" s="24">
        <v>14</v>
      </c>
      <c r="H881" s="26">
        <v>-30.7592</v>
      </c>
      <c r="I881" s="25">
        <v>32.859699999999997</v>
      </c>
      <c r="J881" s="26" t="s">
        <v>1</v>
      </c>
      <c r="K881" s="24">
        <v>4.3</v>
      </c>
      <c r="L881" s="26">
        <v>3.7</v>
      </c>
      <c r="M881" s="26">
        <v>34</v>
      </c>
      <c r="N881" s="27" t="s">
        <v>24</v>
      </c>
      <c r="O881" s="28"/>
    </row>
    <row r="882" spans="1:15" ht="60" x14ac:dyDescent="0.25">
      <c r="A882">
        <v>9227</v>
      </c>
      <c r="B882" s="24">
        <v>7</v>
      </c>
      <c r="C882" s="56" t="s">
        <v>103</v>
      </c>
      <c r="D882">
        <v>2017</v>
      </c>
      <c r="E882" s="24">
        <v>32</v>
      </c>
      <c r="F882" s="25">
        <v>31.81</v>
      </c>
      <c r="G882" s="24">
        <v>19</v>
      </c>
      <c r="H882" s="26">
        <v>-26.2699</v>
      </c>
      <c r="I882" s="25" t="s">
        <v>755</v>
      </c>
      <c r="J882" s="26" t="s">
        <v>1</v>
      </c>
      <c r="K882" s="24">
        <v>4.2</v>
      </c>
      <c r="L882" s="26">
        <v>2.6</v>
      </c>
      <c r="M882" s="26">
        <v>136</v>
      </c>
      <c r="N882" s="27" t="s">
        <v>6</v>
      </c>
      <c r="O882" s="28" t="s">
        <v>584</v>
      </c>
    </row>
    <row r="883" spans="1:15" ht="60" x14ac:dyDescent="0.25">
      <c r="A883">
        <v>9228</v>
      </c>
      <c r="B883" s="24">
        <v>8</v>
      </c>
      <c r="C883" s="56" t="s">
        <v>103</v>
      </c>
      <c r="D883">
        <v>2017</v>
      </c>
      <c r="E883" s="24">
        <v>15</v>
      </c>
      <c r="F883" s="25">
        <v>33.19</v>
      </c>
      <c r="G883" s="24">
        <v>11</v>
      </c>
      <c r="H883" s="26">
        <v>-28.414300000000001</v>
      </c>
      <c r="I883" s="25">
        <v>30.892099999999999</v>
      </c>
      <c r="J883" s="26" t="s">
        <v>1</v>
      </c>
      <c r="K883" s="24">
        <v>3.5</v>
      </c>
      <c r="L883" s="26">
        <v>3.1</v>
      </c>
      <c r="M883" s="26">
        <v>11</v>
      </c>
      <c r="N883" s="27" t="s">
        <v>6</v>
      </c>
      <c r="O883" s="28" t="s">
        <v>756</v>
      </c>
    </row>
    <row r="884" spans="1:15" ht="45" x14ac:dyDescent="0.25">
      <c r="A884">
        <v>9229</v>
      </c>
      <c r="B884" s="24">
        <v>9</v>
      </c>
      <c r="C884" s="56" t="s">
        <v>103</v>
      </c>
      <c r="D884">
        <v>2017</v>
      </c>
      <c r="E884" s="24">
        <v>7</v>
      </c>
      <c r="F884" s="25">
        <v>20.82</v>
      </c>
      <c r="G884" s="24">
        <v>6</v>
      </c>
      <c r="H884" s="26">
        <v>25.642299999999999</v>
      </c>
      <c r="I884" s="25">
        <v>-4.234</v>
      </c>
      <c r="J884" s="26" t="s">
        <v>1</v>
      </c>
      <c r="K884" s="24">
        <v>3.9</v>
      </c>
      <c r="L884" s="26">
        <v>3.4</v>
      </c>
      <c r="M884" s="26">
        <v>117</v>
      </c>
      <c r="N884" s="27" t="s">
        <v>110</v>
      </c>
      <c r="O884" s="28" t="s">
        <v>111</v>
      </c>
    </row>
    <row r="885" spans="1:15" ht="45" x14ac:dyDescent="0.25">
      <c r="A885">
        <v>9230</v>
      </c>
      <c r="B885" s="8">
        <v>9</v>
      </c>
      <c r="C885" s="56" t="s">
        <v>103</v>
      </c>
      <c r="D885">
        <v>2017</v>
      </c>
      <c r="E885" s="8">
        <v>55</v>
      </c>
      <c r="F885" s="9">
        <v>6.9</v>
      </c>
      <c r="G885" s="8">
        <v>11</v>
      </c>
      <c r="H885" s="11">
        <v>13.776999999999999</v>
      </c>
      <c r="I885" s="9">
        <v>-5.9931999999999999</v>
      </c>
      <c r="J885" s="11" t="s">
        <v>1</v>
      </c>
      <c r="K885" s="8">
        <v>4.0999999999999996</v>
      </c>
      <c r="L885" s="11">
        <v>2.7</v>
      </c>
      <c r="M885" s="11">
        <v>174</v>
      </c>
      <c r="N885" s="12" t="s">
        <v>15</v>
      </c>
      <c r="O885" s="13" t="s">
        <v>757</v>
      </c>
    </row>
    <row r="886" spans="1:15" ht="105" x14ac:dyDescent="0.25">
      <c r="A886">
        <v>9231</v>
      </c>
      <c r="B886" s="24">
        <v>9</v>
      </c>
      <c r="C886" s="56" t="s">
        <v>103</v>
      </c>
      <c r="D886">
        <v>2017</v>
      </c>
      <c r="E886" s="24">
        <v>26</v>
      </c>
      <c r="F886" s="25">
        <v>41.48</v>
      </c>
      <c r="G886" s="24">
        <v>15</v>
      </c>
      <c r="H886" s="26">
        <v>-26.2087</v>
      </c>
      <c r="I886" s="25">
        <v>28.008500000000002</v>
      </c>
      <c r="J886" s="26" t="s">
        <v>1</v>
      </c>
      <c r="K886" s="24">
        <v>4.3</v>
      </c>
      <c r="L886" s="26">
        <v>2.7</v>
      </c>
      <c r="M886" s="26">
        <v>134</v>
      </c>
      <c r="N886" s="27" t="s">
        <v>6</v>
      </c>
      <c r="O886" s="28" t="s">
        <v>758</v>
      </c>
    </row>
    <row r="887" spans="1:15" ht="60" x14ac:dyDescent="0.25">
      <c r="A887">
        <v>9232</v>
      </c>
      <c r="B887" s="24">
        <v>9</v>
      </c>
      <c r="C887" s="56" t="s">
        <v>103</v>
      </c>
      <c r="D887">
        <v>2017</v>
      </c>
      <c r="E887" s="24">
        <v>54</v>
      </c>
      <c r="F887" s="25">
        <v>7.25</v>
      </c>
      <c r="G887" s="24">
        <v>22</v>
      </c>
      <c r="H887" s="26">
        <v>-26.816500000000001</v>
      </c>
      <c r="I887" s="25">
        <v>26.4694</v>
      </c>
      <c r="J887" s="26" t="s">
        <v>1</v>
      </c>
      <c r="K887" s="24">
        <v>4.0999999999999996</v>
      </c>
      <c r="L887" s="26">
        <v>4.3</v>
      </c>
      <c r="M887" s="26">
        <v>105</v>
      </c>
      <c r="N887" s="27" t="s">
        <v>6</v>
      </c>
      <c r="O887" s="28" t="s">
        <v>494</v>
      </c>
    </row>
    <row r="888" spans="1:15" ht="45" x14ac:dyDescent="0.25">
      <c r="A888">
        <v>9233</v>
      </c>
      <c r="B888" s="24">
        <v>10</v>
      </c>
      <c r="C888" s="56" t="s">
        <v>103</v>
      </c>
      <c r="D888">
        <v>2017</v>
      </c>
      <c r="E888" s="24">
        <v>48</v>
      </c>
      <c r="F888" s="25">
        <v>9.11</v>
      </c>
      <c r="G888" s="24">
        <v>10</v>
      </c>
      <c r="H888" s="26">
        <v>33.444099999999999</v>
      </c>
      <c r="I888" s="25">
        <v>7.0441000000000003</v>
      </c>
      <c r="J888" s="26" t="s">
        <v>1</v>
      </c>
      <c r="K888" s="24">
        <v>4.0999999999999996</v>
      </c>
      <c r="L888" s="26"/>
      <c r="M888" s="26">
        <v>138</v>
      </c>
      <c r="N888" s="27" t="s">
        <v>10</v>
      </c>
      <c r="O888" s="28" t="s">
        <v>759</v>
      </c>
    </row>
    <row r="889" spans="1:15" ht="60" x14ac:dyDescent="0.25">
      <c r="A889">
        <v>9234</v>
      </c>
      <c r="B889" s="24">
        <v>10</v>
      </c>
      <c r="C889" s="56" t="s">
        <v>103</v>
      </c>
      <c r="D889">
        <v>2017</v>
      </c>
      <c r="E889" s="24">
        <v>56</v>
      </c>
      <c r="F889" s="25">
        <v>28.44</v>
      </c>
      <c r="G889" s="24">
        <v>13</v>
      </c>
      <c r="H889" s="26">
        <v>-29.780999999999999</v>
      </c>
      <c r="I889" s="25">
        <v>26.159400000000002</v>
      </c>
      <c r="J889" s="26" t="s">
        <v>1</v>
      </c>
      <c r="K889" s="24">
        <v>4.2</v>
      </c>
      <c r="L889" s="26"/>
      <c r="M889" s="26">
        <v>52</v>
      </c>
      <c r="N889" s="27" t="s">
        <v>6</v>
      </c>
      <c r="O889" s="28" t="s">
        <v>113</v>
      </c>
    </row>
    <row r="890" spans="1:15" ht="60" x14ac:dyDescent="0.25">
      <c r="A890">
        <v>9235</v>
      </c>
      <c r="B890" s="24">
        <v>10</v>
      </c>
      <c r="C890" s="56" t="s">
        <v>103</v>
      </c>
      <c r="D890">
        <v>2017</v>
      </c>
      <c r="E890" s="24">
        <v>5</v>
      </c>
      <c r="F890" s="25">
        <v>26</v>
      </c>
      <c r="G890" s="24">
        <v>16</v>
      </c>
      <c r="H890" s="26">
        <v>34.850999999999999</v>
      </c>
      <c r="I890" s="25">
        <v>-4.194</v>
      </c>
      <c r="J890" s="26" t="s">
        <v>1</v>
      </c>
      <c r="K890" s="24">
        <v>3.6</v>
      </c>
      <c r="L890" s="26">
        <v>4</v>
      </c>
      <c r="M890" s="26">
        <v>81</v>
      </c>
      <c r="N890" s="27" t="s">
        <v>28</v>
      </c>
      <c r="O890" s="28" t="s">
        <v>751</v>
      </c>
    </row>
    <row r="891" spans="1:15" ht="45" x14ac:dyDescent="0.25">
      <c r="A891">
        <v>9236</v>
      </c>
      <c r="B891" s="24">
        <v>11</v>
      </c>
      <c r="C891" s="56" t="s">
        <v>103</v>
      </c>
      <c r="D891">
        <v>2017</v>
      </c>
      <c r="E891" s="24">
        <v>18</v>
      </c>
      <c r="F891" s="25">
        <v>23.55</v>
      </c>
      <c r="G891" s="24">
        <v>3</v>
      </c>
      <c r="H891" s="26">
        <v>34.757599999999996</v>
      </c>
      <c r="I891" s="25">
        <v>-3.0510000000000002</v>
      </c>
      <c r="J891" s="26" t="s">
        <v>1</v>
      </c>
      <c r="K891" s="24">
        <v>4.2</v>
      </c>
      <c r="L891" s="26">
        <v>4.4000000000000004</v>
      </c>
      <c r="M891" s="26">
        <v>22</v>
      </c>
      <c r="N891" s="27" t="s">
        <v>28</v>
      </c>
      <c r="O891" s="28" t="s">
        <v>760</v>
      </c>
    </row>
    <row r="892" spans="1:15" ht="45" x14ac:dyDescent="0.25">
      <c r="A892">
        <v>9237</v>
      </c>
      <c r="B892" s="24">
        <v>11</v>
      </c>
      <c r="C892" s="56" t="s">
        <v>103</v>
      </c>
      <c r="D892">
        <v>2017</v>
      </c>
      <c r="E892" s="24">
        <v>18</v>
      </c>
      <c r="F892" s="25">
        <v>58.73</v>
      </c>
      <c r="G892" s="24">
        <v>3</v>
      </c>
      <c r="H892" s="26">
        <v>35.628900000000002</v>
      </c>
      <c r="I892" s="25">
        <v>-0.87739999999999996</v>
      </c>
      <c r="J892" s="26" t="s">
        <v>1</v>
      </c>
      <c r="K892" s="24">
        <v>4</v>
      </c>
      <c r="L892" s="26">
        <v>3.9</v>
      </c>
      <c r="M892" s="26">
        <v>98</v>
      </c>
      <c r="N892" s="27" t="s">
        <v>10</v>
      </c>
      <c r="O892" s="28" t="s">
        <v>761</v>
      </c>
    </row>
    <row r="893" spans="1:15" ht="45" x14ac:dyDescent="0.25">
      <c r="A893">
        <v>9238</v>
      </c>
      <c r="B893" s="24">
        <v>11</v>
      </c>
      <c r="C893" s="56" t="s">
        <v>103</v>
      </c>
      <c r="D893">
        <v>2017</v>
      </c>
      <c r="E893" s="24">
        <v>27</v>
      </c>
      <c r="F893" s="25">
        <v>10.050000000000001</v>
      </c>
      <c r="G893" s="24">
        <v>7</v>
      </c>
      <c r="H893" s="26">
        <v>-15.120699999999999</v>
      </c>
      <c r="I893" s="25">
        <v>29.562000000000001</v>
      </c>
      <c r="J893" s="26" t="s">
        <v>1</v>
      </c>
      <c r="K893" s="24">
        <v>4.0999999999999996</v>
      </c>
      <c r="L893" s="26">
        <v>3.5</v>
      </c>
      <c r="M893" s="26">
        <v>76</v>
      </c>
      <c r="N893" s="27" t="s">
        <v>82</v>
      </c>
      <c r="O893" s="28" t="s">
        <v>762</v>
      </c>
    </row>
    <row r="894" spans="1:15" ht="60" x14ac:dyDescent="0.25">
      <c r="A894">
        <v>9239</v>
      </c>
      <c r="B894" s="24">
        <v>11</v>
      </c>
      <c r="C894" s="56" t="s">
        <v>103</v>
      </c>
      <c r="D894">
        <v>2017</v>
      </c>
      <c r="E894" s="24">
        <v>27</v>
      </c>
      <c r="F894" s="25">
        <v>8.7899999999999991</v>
      </c>
      <c r="G894" s="24">
        <v>12</v>
      </c>
      <c r="H894" s="26">
        <v>-29.954599999999999</v>
      </c>
      <c r="I894" s="25">
        <v>25.895900000000001</v>
      </c>
      <c r="J894" s="26" t="s">
        <v>1</v>
      </c>
      <c r="K894" s="24">
        <v>4.2</v>
      </c>
      <c r="L894" s="26"/>
      <c r="M894" s="26">
        <v>71</v>
      </c>
      <c r="N894" s="27" t="s">
        <v>6</v>
      </c>
      <c r="O894" s="28" t="s">
        <v>113</v>
      </c>
    </row>
    <row r="895" spans="1:15" ht="60" x14ac:dyDescent="0.25">
      <c r="A895">
        <v>9240</v>
      </c>
      <c r="B895" s="24">
        <v>11</v>
      </c>
      <c r="C895" s="56" t="s">
        <v>103</v>
      </c>
      <c r="D895">
        <v>2017</v>
      </c>
      <c r="E895" s="24">
        <v>42</v>
      </c>
      <c r="F895" s="25">
        <v>23.44</v>
      </c>
      <c r="G895" s="24">
        <v>12</v>
      </c>
      <c r="H895" s="26">
        <v>-26.458300000000001</v>
      </c>
      <c r="I895" s="25">
        <v>28.991700000000002</v>
      </c>
      <c r="J895" s="26" t="s">
        <v>1</v>
      </c>
      <c r="K895" s="24">
        <v>4.3</v>
      </c>
      <c r="L895" s="26">
        <v>3</v>
      </c>
      <c r="M895" s="26">
        <v>156</v>
      </c>
      <c r="N895" s="27" t="s">
        <v>6</v>
      </c>
      <c r="O895" s="28" t="s">
        <v>763</v>
      </c>
    </row>
    <row r="896" spans="1:15" ht="90" x14ac:dyDescent="0.25">
      <c r="A896">
        <v>9241</v>
      </c>
      <c r="B896" s="24">
        <v>11</v>
      </c>
      <c r="C896" s="56" t="s">
        <v>103</v>
      </c>
      <c r="D896">
        <v>2017</v>
      </c>
      <c r="E896" s="24">
        <v>22</v>
      </c>
      <c r="F896" s="25">
        <v>57.37</v>
      </c>
      <c r="G896" s="24">
        <v>19</v>
      </c>
      <c r="H896" s="26">
        <v>-4.9428999999999998</v>
      </c>
      <c r="I896" s="25">
        <v>27.551400000000001</v>
      </c>
      <c r="J896" s="26" t="s">
        <v>1</v>
      </c>
      <c r="K896" s="24">
        <v>4</v>
      </c>
      <c r="L896" s="26">
        <v>3.6</v>
      </c>
      <c r="M896" s="26">
        <v>180</v>
      </c>
      <c r="N896" s="27" t="s">
        <v>8</v>
      </c>
      <c r="O896" s="28" t="s">
        <v>764</v>
      </c>
    </row>
    <row r="897" spans="1:15" ht="75" x14ac:dyDescent="0.25">
      <c r="A897">
        <v>9242</v>
      </c>
      <c r="B897" s="8">
        <v>12</v>
      </c>
      <c r="C897" s="56" t="s">
        <v>103</v>
      </c>
      <c r="D897">
        <v>2017</v>
      </c>
      <c r="E897" s="8">
        <v>15</v>
      </c>
      <c r="F897" s="9">
        <v>52.05</v>
      </c>
      <c r="G897" s="8">
        <v>20</v>
      </c>
      <c r="H897" s="11">
        <v>6.8817000000000004</v>
      </c>
      <c r="I897" s="9">
        <v>-16.0364</v>
      </c>
      <c r="J897" s="11" t="s">
        <v>1</v>
      </c>
      <c r="K897" s="8">
        <v>4</v>
      </c>
      <c r="L897" s="11"/>
      <c r="M897" s="11">
        <v>157</v>
      </c>
      <c r="N897" s="12" t="s">
        <v>765</v>
      </c>
      <c r="O897" s="13" t="s">
        <v>766</v>
      </c>
    </row>
    <row r="898" spans="1:15" ht="75" x14ac:dyDescent="0.25">
      <c r="A898">
        <v>9243</v>
      </c>
      <c r="B898" s="24">
        <v>13</v>
      </c>
      <c r="C898" s="56" t="s">
        <v>103</v>
      </c>
      <c r="D898">
        <v>2017</v>
      </c>
      <c r="E898" s="24">
        <v>18</v>
      </c>
      <c r="F898" s="25">
        <v>26.59</v>
      </c>
      <c r="G898" s="24">
        <v>1</v>
      </c>
      <c r="H898" s="26">
        <v>-20.257300000000001</v>
      </c>
      <c r="I898" s="25">
        <v>53.646799999999999</v>
      </c>
      <c r="J898" s="26" t="s">
        <v>1</v>
      </c>
      <c r="K898" s="24">
        <v>3.9</v>
      </c>
      <c r="L898" s="26"/>
      <c r="M898" s="26">
        <v>7</v>
      </c>
      <c r="N898" s="27" t="s">
        <v>563</v>
      </c>
      <c r="O898" s="28"/>
    </row>
    <row r="899" spans="1:15" ht="45" x14ac:dyDescent="0.25">
      <c r="A899">
        <v>9244</v>
      </c>
      <c r="B899" s="24">
        <v>13</v>
      </c>
      <c r="C899" s="56" t="s">
        <v>103</v>
      </c>
      <c r="D899">
        <v>2017</v>
      </c>
      <c r="E899" s="24">
        <v>55</v>
      </c>
      <c r="F899" s="25">
        <v>49.08</v>
      </c>
      <c r="G899" s="24">
        <v>3</v>
      </c>
      <c r="H899" s="26">
        <v>26.0684</v>
      </c>
      <c r="I899" s="25">
        <v>-4.7568999999999999</v>
      </c>
      <c r="J899" s="26" t="s">
        <v>1</v>
      </c>
      <c r="K899" s="24">
        <v>4.5</v>
      </c>
      <c r="L899" s="26"/>
      <c r="M899" s="26">
        <v>143</v>
      </c>
      <c r="N899" s="27" t="s">
        <v>110</v>
      </c>
      <c r="O899" s="28" t="s">
        <v>767</v>
      </c>
    </row>
    <row r="900" spans="1:15" ht="60" x14ac:dyDescent="0.25">
      <c r="A900">
        <v>9245</v>
      </c>
      <c r="B900" s="24">
        <v>13</v>
      </c>
      <c r="C900" s="56" t="s">
        <v>103</v>
      </c>
      <c r="D900">
        <v>2017</v>
      </c>
      <c r="E900" s="24">
        <v>56</v>
      </c>
      <c r="F900" s="25">
        <v>42.48</v>
      </c>
      <c r="G900" s="24">
        <v>3</v>
      </c>
      <c r="H900" s="26">
        <v>26.826799999999999</v>
      </c>
      <c r="I900" s="25">
        <v>13.821199999999999</v>
      </c>
      <c r="J900" s="26" t="s">
        <v>1</v>
      </c>
      <c r="K900" s="24">
        <v>3.9</v>
      </c>
      <c r="L900" s="26">
        <v>3.5</v>
      </c>
      <c r="M900" s="26">
        <v>57</v>
      </c>
      <c r="N900" s="27" t="s">
        <v>48</v>
      </c>
      <c r="O900" s="28" t="s">
        <v>768</v>
      </c>
    </row>
    <row r="901" spans="1:15" ht="60" x14ac:dyDescent="0.25">
      <c r="A901">
        <v>9246</v>
      </c>
      <c r="B901" s="24">
        <v>13</v>
      </c>
      <c r="C901" s="56" t="s">
        <v>103</v>
      </c>
      <c r="D901">
        <v>2017</v>
      </c>
      <c r="E901" s="24">
        <v>30</v>
      </c>
      <c r="F901" s="25">
        <v>22.75</v>
      </c>
      <c r="G901" s="24">
        <v>14</v>
      </c>
      <c r="H901" s="26">
        <v>-25.902100000000001</v>
      </c>
      <c r="I901" s="25">
        <v>29.060300000000002</v>
      </c>
      <c r="J901" s="26" t="s">
        <v>1</v>
      </c>
      <c r="K901" s="24">
        <v>4.2</v>
      </c>
      <c r="L901" s="26">
        <v>3</v>
      </c>
      <c r="M901" s="26">
        <v>132</v>
      </c>
      <c r="N901" s="27" t="s">
        <v>6</v>
      </c>
      <c r="O901" s="28" t="s">
        <v>23</v>
      </c>
    </row>
    <row r="902" spans="1:15" ht="45" x14ac:dyDescent="0.25">
      <c r="A902">
        <v>9247</v>
      </c>
      <c r="B902" s="8">
        <v>13</v>
      </c>
      <c r="C902" s="56" t="s">
        <v>103</v>
      </c>
      <c r="D902">
        <v>2017</v>
      </c>
      <c r="E902" s="8">
        <v>44</v>
      </c>
      <c r="F902" s="9">
        <v>44.29</v>
      </c>
      <c r="G902" s="8">
        <v>21</v>
      </c>
      <c r="H902" s="11">
        <v>15.851800000000001</v>
      </c>
      <c r="I902" s="9">
        <v>6.4408000000000003</v>
      </c>
      <c r="J902" s="11" t="s">
        <v>1</v>
      </c>
      <c r="K902" s="8"/>
      <c r="L902" s="11">
        <v>2.2000000000000002</v>
      </c>
      <c r="M902" s="11">
        <v>150</v>
      </c>
      <c r="N902" s="12" t="s">
        <v>15</v>
      </c>
      <c r="O902" s="13" t="s">
        <v>769</v>
      </c>
    </row>
    <row r="903" spans="1:15" ht="45" x14ac:dyDescent="0.25">
      <c r="A903">
        <v>9248</v>
      </c>
      <c r="B903" s="24">
        <v>14</v>
      </c>
      <c r="C903" s="56" t="s">
        <v>103</v>
      </c>
      <c r="D903">
        <v>2017</v>
      </c>
      <c r="E903" s="24">
        <v>32</v>
      </c>
      <c r="F903" s="25">
        <v>54.54</v>
      </c>
      <c r="G903" s="24">
        <v>7</v>
      </c>
      <c r="H903" s="26">
        <v>36.491300000000003</v>
      </c>
      <c r="I903" s="25">
        <v>7.9264000000000001</v>
      </c>
      <c r="J903" s="26" t="s">
        <v>1</v>
      </c>
      <c r="K903" s="24">
        <v>4.2</v>
      </c>
      <c r="L903" s="26"/>
      <c r="M903" s="26">
        <v>65</v>
      </c>
      <c r="N903" s="27" t="s">
        <v>10</v>
      </c>
      <c r="O903" s="28" t="s">
        <v>770</v>
      </c>
    </row>
    <row r="904" spans="1:15" ht="75" x14ac:dyDescent="0.25">
      <c r="A904">
        <v>9249</v>
      </c>
      <c r="B904" s="24">
        <v>14</v>
      </c>
      <c r="C904" s="56" t="s">
        <v>103</v>
      </c>
      <c r="D904">
        <v>2017</v>
      </c>
      <c r="E904" s="24">
        <v>32</v>
      </c>
      <c r="F904" s="25">
        <v>52.97</v>
      </c>
      <c r="G904" s="24">
        <v>11</v>
      </c>
      <c r="H904" s="26">
        <v>-18.440300000000001</v>
      </c>
      <c r="I904" s="25">
        <v>22.465</v>
      </c>
      <c r="J904" s="26" t="s">
        <v>1</v>
      </c>
      <c r="K904" s="24">
        <v>4.3</v>
      </c>
      <c r="L904" s="26">
        <v>4.2</v>
      </c>
      <c r="M904" s="26">
        <v>96</v>
      </c>
      <c r="N904" s="27" t="s">
        <v>66</v>
      </c>
      <c r="O904" s="28" t="s">
        <v>771</v>
      </c>
    </row>
    <row r="905" spans="1:15" x14ac:dyDescent="0.25">
      <c r="A905">
        <v>9250</v>
      </c>
      <c r="B905">
        <v>15</v>
      </c>
      <c r="C905" s="56" t="s">
        <v>103</v>
      </c>
      <c r="D905">
        <v>2017</v>
      </c>
      <c r="E905">
        <v>32</v>
      </c>
      <c r="F905" s="57">
        <v>29.64</v>
      </c>
      <c r="G905">
        <v>6</v>
      </c>
      <c r="H905" s="58">
        <v>2.2833999999999999</v>
      </c>
      <c r="I905" s="57">
        <v>40.0974</v>
      </c>
      <c r="J905" s="58" t="s">
        <v>1</v>
      </c>
      <c r="K905">
        <v>4</v>
      </c>
      <c r="L905" s="26">
        <v>3.3</v>
      </c>
      <c r="M905" s="58">
        <v>130</v>
      </c>
      <c r="N905" s="59" t="s">
        <v>13</v>
      </c>
      <c r="O905" s="60" t="s">
        <v>772</v>
      </c>
    </row>
    <row r="906" spans="1:15" ht="60" x14ac:dyDescent="0.25">
      <c r="A906">
        <v>9251</v>
      </c>
      <c r="B906">
        <v>15</v>
      </c>
      <c r="C906" s="56" t="s">
        <v>103</v>
      </c>
      <c r="D906">
        <v>2017</v>
      </c>
      <c r="E906">
        <v>23</v>
      </c>
      <c r="F906" s="57">
        <v>57.28</v>
      </c>
      <c r="G906">
        <v>14</v>
      </c>
      <c r="H906" s="58">
        <v>-26.464500000000001</v>
      </c>
      <c r="I906" s="57">
        <v>27.4358</v>
      </c>
      <c r="J906" s="58" t="s">
        <v>1</v>
      </c>
      <c r="K906">
        <v>3.7</v>
      </c>
      <c r="L906" s="26">
        <v>3.3</v>
      </c>
      <c r="M906" s="58">
        <v>115</v>
      </c>
      <c r="N906" s="59" t="s">
        <v>6</v>
      </c>
      <c r="O906" s="60" t="s">
        <v>773</v>
      </c>
    </row>
    <row r="907" spans="1:15" ht="60" x14ac:dyDescent="0.25">
      <c r="A907">
        <v>9252</v>
      </c>
      <c r="B907">
        <v>15</v>
      </c>
      <c r="C907" s="56" t="s">
        <v>103</v>
      </c>
      <c r="D907">
        <v>2017</v>
      </c>
      <c r="E907">
        <v>51</v>
      </c>
      <c r="F907" s="57">
        <v>34.67</v>
      </c>
      <c r="G907">
        <v>14</v>
      </c>
      <c r="H907" s="58">
        <v>-26.510300000000001</v>
      </c>
      <c r="I907" s="57">
        <v>27.497499999999999</v>
      </c>
      <c r="J907" s="58" t="s">
        <v>1</v>
      </c>
      <c r="K907">
        <v>3.8</v>
      </c>
      <c r="L907" s="26">
        <v>3.5</v>
      </c>
      <c r="M907" s="58">
        <v>111</v>
      </c>
      <c r="N907" s="59" t="s">
        <v>6</v>
      </c>
      <c r="O907" s="60" t="s">
        <v>774</v>
      </c>
    </row>
    <row r="908" spans="1:15" x14ac:dyDescent="0.25">
      <c r="A908">
        <v>9253</v>
      </c>
      <c r="B908">
        <v>15</v>
      </c>
      <c r="C908" s="56" t="s">
        <v>103</v>
      </c>
      <c r="D908">
        <v>2017</v>
      </c>
      <c r="E908">
        <v>14</v>
      </c>
      <c r="F908" s="57">
        <v>3.19</v>
      </c>
      <c r="G908">
        <v>21</v>
      </c>
      <c r="H908" s="58">
        <v>31.9468</v>
      </c>
      <c r="I908" s="57">
        <v>22.767399999999999</v>
      </c>
      <c r="J908" s="58" t="s">
        <v>1</v>
      </c>
      <c r="K908">
        <v>4.0999999999999996</v>
      </c>
      <c r="L908" s="26">
        <v>3.4</v>
      </c>
      <c r="M908" s="58">
        <v>25</v>
      </c>
      <c r="N908" s="59" t="s">
        <v>48</v>
      </c>
      <c r="O908" s="60" t="s">
        <v>775</v>
      </c>
    </row>
    <row r="909" spans="1:15" ht="60" x14ac:dyDescent="0.25">
      <c r="A909">
        <v>9254</v>
      </c>
      <c r="B909">
        <v>16</v>
      </c>
      <c r="C909" s="56" t="s">
        <v>103</v>
      </c>
      <c r="D909">
        <v>2017</v>
      </c>
      <c r="E909">
        <v>30</v>
      </c>
      <c r="F909" s="57">
        <v>36.07</v>
      </c>
      <c r="G909">
        <v>0</v>
      </c>
      <c r="H909" s="58">
        <v>-28.141300000000001</v>
      </c>
      <c r="I909" s="57">
        <v>24.754100000000001</v>
      </c>
      <c r="J909" s="58" t="s">
        <v>1</v>
      </c>
      <c r="K909">
        <v>4.3</v>
      </c>
      <c r="L909" s="26"/>
      <c r="M909" s="58">
        <v>145</v>
      </c>
      <c r="N909" s="59" t="s">
        <v>6</v>
      </c>
      <c r="O909" s="60" t="s">
        <v>776</v>
      </c>
    </row>
    <row r="910" spans="1:15" x14ac:dyDescent="0.25">
      <c r="A910">
        <v>9255</v>
      </c>
      <c r="B910">
        <v>16</v>
      </c>
      <c r="C910" s="56" t="s">
        <v>103</v>
      </c>
      <c r="D910">
        <v>2017</v>
      </c>
      <c r="E910">
        <v>51</v>
      </c>
      <c r="F910" s="57">
        <v>7.34</v>
      </c>
      <c r="G910">
        <v>21</v>
      </c>
      <c r="H910" s="58">
        <v>36.1</v>
      </c>
      <c r="I910" s="57">
        <v>7.6914999999999996</v>
      </c>
      <c r="J910" s="58" t="s">
        <v>1</v>
      </c>
      <c r="K910">
        <v>4.5999999999999996</v>
      </c>
      <c r="L910" s="26"/>
      <c r="M910" s="58">
        <v>167</v>
      </c>
      <c r="N910" s="59" t="s">
        <v>777</v>
      </c>
      <c r="O910" s="60" t="s">
        <v>778</v>
      </c>
    </row>
    <row r="911" spans="1:15" x14ac:dyDescent="0.25">
      <c r="A911">
        <v>9256</v>
      </c>
      <c r="B911">
        <v>17</v>
      </c>
      <c r="C911" s="56" t="s">
        <v>103</v>
      </c>
      <c r="D911">
        <v>2017</v>
      </c>
      <c r="E911">
        <v>57</v>
      </c>
      <c r="F911" s="57">
        <v>51.92</v>
      </c>
      <c r="G911">
        <v>16</v>
      </c>
      <c r="H911" s="58">
        <v>34.500500000000002</v>
      </c>
      <c r="I911" s="57">
        <v>-1.9493</v>
      </c>
      <c r="J911" s="58" t="s">
        <v>1</v>
      </c>
      <c r="K911">
        <v>3.5</v>
      </c>
      <c r="L911" s="26"/>
      <c r="M911" s="58">
        <v>91</v>
      </c>
      <c r="N911" s="59" t="s">
        <v>777</v>
      </c>
      <c r="O911" s="60" t="s">
        <v>779</v>
      </c>
    </row>
    <row r="912" spans="1:15" ht="60" x14ac:dyDescent="0.25">
      <c r="A912">
        <v>9257</v>
      </c>
      <c r="B912">
        <v>19</v>
      </c>
      <c r="C912" s="56" t="s">
        <v>103</v>
      </c>
      <c r="D912">
        <v>2017</v>
      </c>
      <c r="E912">
        <v>6</v>
      </c>
      <c r="F912" s="57">
        <v>45.24</v>
      </c>
      <c r="G912">
        <v>12</v>
      </c>
      <c r="H912" s="58">
        <v>-29.3766</v>
      </c>
      <c r="I912" s="57">
        <v>25.4236</v>
      </c>
      <c r="J912" s="58" t="s">
        <v>1</v>
      </c>
      <c r="K912">
        <v>4</v>
      </c>
      <c r="L912" s="26"/>
      <c r="M912" s="58">
        <v>84</v>
      </c>
      <c r="N912" s="59" t="s">
        <v>6</v>
      </c>
      <c r="O912" s="60" t="s">
        <v>780</v>
      </c>
    </row>
    <row r="913" spans="1:15" x14ac:dyDescent="0.25">
      <c r="A913">
        <v>9258</v>
      </c>
      <c r="B913">
        <v>19</v>
      </c>
      <c r="C913" s="56" t="s">
        <v>103</v>
      </c>
      <c r="D913">
        <v>2017</v>
      </c>
      <c r="E913">
        <v>19</v>
      </c>
      <c r="F913" s="57">
        <v>52.29</v>
      </c>
      <c r="G913">
        <v>12</v>
      </c>
      <c r="H913" s="58">
        <v>9.9552999999999994</v>
      </c>
      <c r="I913" s="57">
        <v>43.867899999999999</v>
      </c>
      <c r="J913" s="58" t="s">
        <v>1</v>
      </c>
      <c r="K913">
        <v>4.3</v>
      </c>
      <c r="L913" s="26"/>
      <c r="M913" s="58">
        <v>143</v>
      </c>
      <c r="N913" s="59" t="s">
        <v>781</v>
      </c>
      <c r="O913" s="60" t="s">
        <v>782</v>
      </c>
    </row>
    <row r="914" spans="1:15" ht="60" x14ac:dyDescent="0.25">
      <c r="A914">
        <v>9259</v>
      </c>
      <c r="B914">
        <v>20</v>
      </c>
      <c r="C914" s="56" t="s">
        <v>103</v>
      </c>
      <c r="D914">
        <v>2017</v>
      </c>
      <c r="E914">
        <v>51</v>
      </c>
      <c r="F914" s="57">
        <v>43.14</v>
      </c>
      <c r="G914">
        <v>6</v>
      </c>
      <c r="H914" s="58">
        <v>-29.981000000000002</v>
      </c>
      <c r="I914" s="57">
        <v>25.801100000000002</v>
      </c>
      <c r="J914" s="58" t="s">
        <v>1</v>
      </c>
      <c r="K914">
        <v>4.3</v>
      </c>
      <c r="L914" s="26"/>
      <c r="M914" s="58">
        <v>77</v>
      </c>
      <c r="N914" s="59" t="s">
        <v>6</v>
      </c>
      <c r="O914" s="60" t="s">
        <v>783</v>
      </c>
    </row>
    <row r="915" spans="1:15" x14ac:dyDescent="0.25">
      <c r="A915">
        <v>9260</v>
      </c>
      <c r="B915">
        <v>20</v>
      </c>
      <c r="C915" s="56" t="s">
        <v>103</v>
      </c>
      <c r="D915">
        <v>2017</v>
      </c>
      <c r="E915">
        <v>22</v>
      </c>
      <c r="F915" s="57">
        <v>59.16</v>
      </c>
      <c r="G915">
        <v>23</v>
      </c>
      <c r="H915" s="58">
        <v>32.6706</v>
      </c>
      <c r="I915" s="57">
        <v>22.9086</v>
      </c>
      <c r="J915" s="58" t="s">
        <v>1</v>
      </c>
      <c r="L915" s="26">
        <v>3.2</v>
      </c>
      <c r="M915" s="58">
        <v>24</v>
      </c>
      <c r="N915" s="59" t="s">
        <v>48</v>
      </c>
      <c r="O915" s="60" t="s">
        <v>775</v>
      </c>
    </row>
    <row r="916" spans="1:15" x14ac:dyDescent="0.25">
      <c r="A916">
        <v>9261</v>
      </c>
      <c r="B916">
        <v>21</v>
      </c>
      <c r="C916" s="56" t="s">
        <v>103</v>
      </c>
      <c r="D916">
        <v>2017</v>
      </c>
      <c r="E916">
        <v>1</v>
      </c>
      <c r="F916" s="57">
        <v>41.14</v>
      </c>
      <c r="G916">
        <v>1</v>
      </c>
      <c r="H916" s="58">
        <v>-0.74970000000000003</v>
      </c>
      <c r="I916" s="57">
        <v>40.2181</v>
      </c>
      <c r="J916" s="58" t="s">
        <v>784</v>
      </c>
      <c r="K916">
        <v>3.9</v>
      </c>
      <c r="L916" s="26"/>
      <c r="M916" s="58">
        <v>151</v>
      </c>
      <c r="N916" s="59" t="s">
        <v>13</v>
      </c>
      <c r="O916" s="60" t="s">
        <v>785</v>
      </c>
    </row>
    <row r="917" spans="1:15" x14ac:dyDescent="0.25">
      <c r="A917">
        <v>9262</v>
      </c>
      <c r="B917">
        <v>21</v>
      </c>
      <c r="C917" s="56" t="s">
        <v>103</v>
      </c>
      <c r="D917">
        <v>2017</v>
      </c>
      <c r="E917">
        <v>32</v>
      </c>
      <c r="F917" s="57">
        <v>34.65</v>
      </c>
      <c r="G917">
        <v>1</v>
      </c>
      <c r="H917" s="58">
        <v>13.0122</v>
      </c>
      <c r="I917" s="57">
        <v>24.083300000000001</v>
      </c>
      <c r="J917" s="58" t="s">
        <v>1</v>
      </c>
      <c r="K917">
        <v>3.9</v>
      </c>
      <c r="L917" s="26"/>
      <c r="M917" s="58">
        <v>146</v>
      </c>
      <c r="N917" s="59" t="s">
        <v>117</v>
      </c>
      <c r="O917" s="60" t="s">
        <v>786</v>
      </c>
    </row>
    <row r="918" spans="1:15" x14ac:dyDescent="0.25">
      <c r="A918">
        <v>9263</v>
      </c>
      <c r="B918">
        <v>21</v>
      </c>
      <c r="C918" s="56" t="s">
        <v>103</v>
      </c>
      <c r="D918">
        <v>2017</v>
      </c>
      <c r="E918">
        <v>49</v>
      </c>
      <c r="F918" s="57">
        <v>25.41</v>
      </c>
      <c r="G918">
        <v>2</v>
      </c>
      <c r="H918" s="58">
        <v>31.1403</v>
      </c>
      <c r="I918" s="57">
        <v>14.348599999999999</v>
      </c>
      <c r="J918" s="58" t="s">
        <v>1</v>
      </c>
      <c r="K918">
        <v>3</v>
      </c>
      <c r="L918" s="26">
        <v>3</v>
      </c>
      <c r="M918" s="58">
        <v>128</v>
      </c>
      <c r="N918" s="59" t="s">
        <v>48</v>
      </c>
      <c r="O918" s="60" t="s">
        <v>787</v>
      </c>
    </row>
    <row r="919" spans="1:15" x14ac:dyDescent="0.25">
      <c r="A919">
        <v>9264</v>
      </c>
      <c r="B919">
        <v>21</v>
      </c>
      <c r="C919" s="56" t="s">
        <v>103</v>
      </c>
      <c r="D919">
        <v>2017</v>
      </c>
      <c r="E919">
        <v>49</v>
      </c>
      <c r="F919" s="57">
        <v>2.57</v>
      </c>
      <c r="G919">
        <v>3</v>
      </c>
      <c r="H919" s="58">
        <v>22.4269</v>
      </c>
      <c r="I919" s="57">
        <v>4.3334999999999999</v>
      </c>
      <c r="J919" s="58" t="s">
        <v>1</v>
      </c>
      <c r="K919">
        <v>4</v>
      </c>
      <c r="L919" s="26">
        <v>2.9</v>
      </c>
      <c r="M919" s="58">
        <v>117</v>
      </c>
      <c r="N919" s="59" t="s">
        <v>777</v>
      </c>
      <c r="O919" s="60" t="s">
        <v>788</v>
      </c>
    </row>
    <row r="920" spans="1:15" ht="60" x14ac:dyDescent="0.25">
      <c r="A920">
        <v>9265</v>
      </c>
      <c r="B920">
        <v>21</v>
      </c>
      <c r="C920" s="56" t="s">
        <v>103</v>
      </c>
      <c r="D920">
        <v>2017</v>
      </c>
      <c r="E920">
        <v>11</v>
      </c>
      <c r="F920" s="57">
        <v>31.24</v>
      </c>
      <c r="G920">
        <v>10</v>
      </c>
      <c r="H920" s="58">
        <v>-28.242599999999999</v>
      </c>
      <c r="I920" s="57">
        <v>25.021100000000001</v>
      </c>
      <c r="J920" s="58" t="s">
        <v>1</v>
      </c>
      <c r="K920">
        <v>3.9</v>
      </c>
      <c r="L920" s="26"/>
      <c r="M920" s="58">
        <v>142</v>
      </c>
      <c r="N920" s="59" t="s">
        <v>6</v>
      </c>
      <c r="O920" s="60" t="s">
        <v>789</v>
      </c>
    </row>
    <row r="921" spans="1:15" ht="30" x14ac:dyDescent="0.25">
      <c r="A921">
        <v>9266</v>
      </c>
      <c r="B921">
        <v>21</v>
      </c>
      <c r="C921" s="56" t="s">
        <v>103</v>
      </c>
      <c r="D921">
        <v>2017</v>
      </c>
      <c r="E921">
        <v>31</v>
      </c>
      <c r="F921" s="57">
        <v>11.6</v>
      </c>
      <c r="G921">
        <v>14</v>
      </c>
      <c r="H921" s="58">
        <v>-12.2014</v>
      </c>
      <c r="I921" s="57">
        <v>35.697800000000001</v>
      </c>
      <c r="J921" s="58" t="s">
        <v>1</v>
      </c>
      <c r="K921">
        <v>4</v>
      </c>
      <c r="L921" s="26">
        <v>4.3</v>
      </c>
      <c r="M921" s="58">
        <v>110</v>
      </c>
      <c r="N921" s="59" t="s">
        <v>26</v>
      </c>
      <c r="O921" s="60" t="s">
        <v>790</v>
      </c>
    </row>
    <row r="922" spans="1:15" ht="60" x14ac:dyDescent="0.25">
      <c r="A922">
        <v>9267</v>
      </c>
      <c r="B922">
        <v>21</v>
      </c>
      <c r="C922" s="56" t="s">
        <v>103</v>
      </c>
      <c r="D922">
        <v>2017</v>
      </c>
      <c r="E922">
        <v>38</v>
      </c>
      <c r="F922" s="57">
        <v>19.010000000000002</v>
      </c>
      <c r="G922">
        <v>15</v>
      </c>
      <c r="H922" s="58">
        <v>-25.480799999999999</v>
      </c>
      <c r="I922" s="57">
        <v>31.562100000000001</v>
      </c>
      <c r="J922" s="58" t="s">
        <v>1</v>
      </c>
      <c r="K922">
        <v>4.2</v>
      </c>
      <c r="L922" s="26">
        <v>3.6</v>
      </c>
      <c r="M922" s="58">
        <v>133</v>
      </c>
      <c r="N922" s="59" t="s">
        <v>6</v>
      </c>
      <c r="O922" s="60" t="s">
        <v>791</v>
      </c>
    </row>
    <row r="923" spans="1:15" ht="60" x14ac:dyDescent="0.25">
      <c r="A923">
        <v>9268</v>
      </c>
      <c r="B923">
        <v>21</v>
      </c>
      <c r="C923" s="56" t="s">
        <v>103</v>
      </c>
      <c r="D923">
        <v>2017</v>
      </c>
      <c r="E923">
        <v>21</v>
      </c>
      <c r="F923" s="57">
        <v>52.42</v>
      </c>
      <c r="G923">
        <v>16</v>
      </c>
      <c r="H923" s="58">
        <v>-25.541399999999999</v>
      </c>
      <c r="I923" s="57">
        <v>27.3476</v>
      </c>
      <c r="J923" s="58" t="s">
        <v>1</v>
      </c>
      <c r="K923">
        <v>4.5</v>
      </c>
      <c r="L923" s="26">
        <v>3.1</v>
      </c>
      <c r="M923" s="58">
        <v>111</v>
      </c>
      <c r="N923" s="59" t="s">
        <v>6</v>
      </c>
      <c r="O923" s="60" t="s">
        <v>792</v>
      </c>
    </row>
    <row r="924" spans="1:15" ht="60" x14ac:dyDescent="0.25">
      <c r="A924">
        <v>9269</v>
      </c>
      <c r="B924">
        <v>21</v>
      </c>
      <c r="C924" s="56" t="s">
        <v>103</v>
      </c>
      <c r="D924">
        <v>2017</v>
      </c>
      <c r="E924">
        <v>24</v>
      </c>
      <c r="F924" s="57">
        <v>58.89</v>
      </c>
      <c r="G924">
        <v>18</v>
      </c>
      <c r="H924" s="58">
        <v>-26.571300000000001</v>
      </c>
      <c r="I924" s="57">
        <v>28.413499999999999</v>
      </c>
      <c r="J924" s="58" t="s">
        <v>1</v>
      </c>
      <c r="K924">
        <v>4.0999999999999996</v>
      </c>
      <c r="L924" s="26">
        <v>2.8</v>
      </c>
      <c r="M924" s="58">
        <v>162</v>
      </c>
      <c r="N924" s="59" t="s">
        <v>6</v>
      </c>
      <c r="O924" s="60" t="s">
        <v>793</v>
      </c>
    </row>
    <row r="925" spans="1:15" ht="60" x14ac:dyDescent="0.25">
      <c r="A925">
        <v>9270</v>
      </c>
      <c r="B925">
        <v>22</v>
      </c>
      <c r="C925" s="56" t="s">
        <v>103</v>
      </c>
      <c r="D925">
        <v>2017</v>
      </c>
      <c r="E925">
        <v>44</v>
      </c>
      <c r="F925" s="57">
        <v>23.37</v>
      </c>
      <c r="G925">
        <v>12</v>
      </c>
      <c r="H925" s="58">
        <v>-26.372699999999998</v>
      </c>
      <c r="I925" s="57">
        <v>27.482500000000002</v>
      </c>
      <c r="J925" s="58" t="s">
        <v>1</v>
      </c>
      <c r="K925">
        <v>3.5</v>
      </c>
      <c r="L925" s="26">
        <v>3.1</v>
      </c>
      <c r="M925" s="58">
        <v>114</v>
      </c>
      <c r="N925" s="59" t="s">
        <v>6</v>
      </c>
      <c r="O925" s="60" t="s">
        <v>794</v>
      </c>
    </row>
    <row r="926" spans="1:15" ht="60" x14ac:dyDescent="0.25">
      <c r="A926">
        <v>9271</v>
      </c>
      <c r="B926">
        <v>22</v>
      </c>
      <c r="C926" s="56" t="s">
        <v>103</v>
      </c>
      <c r="D926">
        <v>2017</v>
      </c>
      <c r="E926">
        <v>51</v>
      </c>
      <c r="F926" s="57">
        <v>52.83</v>
      </c>
      <c r="G926">
        <v>22</v>
      </c>
      <c r="H926" s="58">
        <v>-22.828800000000001</v>
      </c>
      <c r="I926" s="57">
        <v>30.016100000000002</v>
      </c>
      <c r="J926" s="58" t="s">
        <v>1</v>
      </c>
      <c r="L926" s="26">
        <v>3.3</v>
      </c>
      <c r="M926" s="58">
        <v>126</v>
      </c>
      <c r="N926" s="59" t="s">
        <v>6</v>
      </c>
      <c r="O926" s="60" t="s">
        <v>795</v>
      </c>
    </row>
    <row r="927" spans="1:15" x14ac:dyDescent="0.25">
      <c r="A927">
        <v>9272</v>
      </c>
      <c r="B927">
        <v>23</v>
      </c>
      <c r="C927" s="56" t="s">
        <v>103</v>
      </c>
      <c r="D927">
        <v>2017</v>
      </c>
      <c r="E927">
        <v>59</v>
      </c>
      <c r="F927" s="57">
        <v>13.97</v>
      </c>
      <c r="G927">
        <v>1</v>
      </c>
      <c r="H927" s="58">
        <v>15.4846</v>
      </c>
      <c r="I927" s="57">
        <v>20.293099999999999</v>
      </c>
      <c r="J927" s="58" t="s">
        <v>1</v>
      </c>
      <c r="K927">
        <v>3.2</v>
      </c>
      <c r="L927" s="26">
        <v>3.3</v>
      </c>
      <c r="M927" s="58">
        <v>141</v>
      </c>
      <c r="N927" s="59" t="s">
        <v>796</v>
      </c>
      <c r="O927" s="60" t="s">
        <v>797</v>
      </c>
    </row>
    <row r="928" spans="1:15" ht="60" x14ac:dyDescent="0.25">
      <c r="A928">
        <v>9273</v>
      </c>
      <c r="B928">
        <v>23</v>
      </c>
      <c r="C928" s="56" t="s">
        <v>103</v>
      </c>
      <c r="D928">
        <v>2017</v>
      </c>
      <c r="E928">
        <v>40</v>
      </c>
      <c r="F928" s="57">
        <v>52.15</v>
      </c>
      <c r="G928">
        <v>10</v>
      </c>
      <c r="H928" s="58">
        <v>-26.141200000000001</v>
      </c>
      <c r="I928" s="57">
        <v>27.740600000000001</v>
      </c>
      <c r="J928" s="58" t="s">
        <v>1</v>
      </c>
      <c r="K928">
        <v>4.5</v>
      </c>
      <c r="L928" s="26">
        <v>3</v>
      </c>
      <c r="M928" s="58">
        <v>124</v>
      </c>
      <c r="N928" s="59" t="s">
        <v>6</v>
      </c>
      <c r="O928" s="60" t="s">
        <v>798</v>
      </c>
    </row>
    <row r="929" spans="1:15" ht="30" x14ac:dyDescent="0.25">
      <c r="A929">
        <v>9274</v>
      </c>
      <c r="B929">
        <v>23</v>
      </c>
      <c r="C929" s="56" t="s">
        <v>103</v>
      </c>
      <c r="D929">
        <v>2017</v>
      </c>
      <c r="E929">
        <v>25</v>
      </c>
      <c r="F929" s="57">
        <v>27.93</v>
      </c>
      <c r="G929">
        <v>13</v>
      </c>
      <c r="H929" s="58">
        <v>22.725000000000001</v>
      </c>
      <c r="I929" s="57">
        <v>-13.0647</v>
      </c>
      <c r="J929" s="58" t="s">
        <v>1</v>
      </c>
      <c r="K929">
        <v>3.8</v>
      </c>
      <c r="L929" s="26">
        <v>3.5</v>
      </c>
      <c r="M929" s="58">
        <v>134</v>
      </c>
      <c r="N929" s="59" t="s">
        <v>799</v>
      </c>
      <c r="O929" s="60" t="s">
        <v>800</v>
      </c>
    </row>
    <row r="930" spans="1:15" x14ac:dyDescent="0.25">
      <c r="A930">
        <v>9275</v>
      </c>
      <c r="B930">
        <v>24</v>
      </c>
      <c r="C930" s="56" t="s">
        <v>103</v>
      </c>
      <c r="D930">
        <v>2017</v>
      </c>
      <c r="E930">
        <v>57</v>
      </c>
      <c r="F930" s="57">
        <v>26.43</v>
      </c>
      <c r="G930">
        <v>20</v>
      </c>
      <c r="H930" s="58">
        <v>35.183300000000003</v>
      </c>
      <c r="I930" s="57">
        <v>6.3407</v>
      </c>
      <c r="J930" s="58" t="s">
        <v>1</v>
      </c>
      <c r="K930">
        <v>3.4</v>
      </c>
      <c r="L930" s="26">
        <v>3.2</v>
      </c>
      <c r="M930" s="58">
        <v>156</v>
      </c>
      <c r="N930" s="59" t="s">
        <v>777</v>
      </c>
      <c r="O930" s="60" t="s">
        <v>801</v>
      </c>
    </row>
    <row r="931" spans="1:15" x14ac:dyDescent="0.25">
      <c r="A931">
        <v>9276</v>
      </c>
      <c r="B931">
        <v>24</v>
      </c>
      <c r="C931" s="56" t="s">
        <v>103</v>
      </c>
      <c r="D931">
        <v>2017</v>
      </c>
      <c r="E931">
        <v>46</v>
      </c>
      <c r="F931" s="57">
        <v>40.14</v>
      </c>
      <c r="G931">
        <v>21</v>
      </c>
      <c r="H931" s="58">
        <v>22.719000000000001</v>
      </c>
      <c r="I931" s="57">
        <v>32.0319</v>
      </c>
      <c r="J931" s="58" t="s">
        <v>1</v>
      </c>
      <c r="K931">
        <v>3.9</v>
      </c>
      <c r="L931" s="26"/>
      <c r="M931" s="58">
        <v>165</v>
      </c>
      <c r="N931" s="59" t="s">
        <v>72</v>
      </c>
      <c r="O931" s="60" t="s">
        <v>802</v>
      </c>
    </row>
    <row r="932" spans="1:15" ht="60" x14ac:dyDescent="0.25">
      <c r="A932">
        <v>9277</v>
      </c>
      <c r="B932">
        <v>25</v>
      </c>
      <c r="C932" s="56" t="s">
        <v>103</v>
      </c>
      <c r="D932">
        <v>2017</v>
      </c>
      <c r="E932">
        <v>18</v>
      </c>
      <c r="F932" s="57">
        <v>56.66</v>
      </c>
      <c r="G932">
        <v>4</v>
      </c>
      <c r="H932" s="58">
        <v>-26.225100000000001</v>
      </c>
      <c r="I932" s="57">
        <v>27.399899999999999</v>
      </c>
      <c r="J932" s="58" t="s">
        <v>1</v>
      </c>
      <c r="K932">
        <v>4.0999999999999996</v>
      </c>
      <c r="L932" s="26">
        <v>4.0999999999999996</v>
      </c>
      <c r="M932" s="58">
        <v>119</v>
      </c>
      <c r="N932" s="59" t="s">
        <v>6</v>
      </c>
      <c r="O932" s="60" t="s">
        <v>803</v>
      </c>
    </row>
    <row r="933" spans="1:15" x14ac:dyDescent="0.25">
      <c r="A933">
        <v>9278</v>
      </c>
      <c r="B933">
        <v>26</v>
      </c>
      <c r="C933" s="56" t="s">
        <v>103</v>
      </c>
      <c r="D933">
        <v>2017</v>
      </c>
      <c r="E933">
        <v>58</v>
      </c>
      <c r="F933" s="57">
        <v>51.78</v>
      </c>
      <c r="G933">
        <v>10</v>
      </c>
      <c r="H933" s="58">
        <v>18.847300000000001</v>
      </c>
      <c r="I933" s="57">
        <v>12.2288</v>
      </c>
      <c r="J933" s="58" t="s">
        <v>1</v>
      </c>
      <c r="K933">
        <v>4.2</v>
      </c>
      <c r="L933" s="26">
        <v>3</v>
      </c>
      <c r="M933" s="58">
        <v>155</v>
      </c>
      <c r="N933" s="59" t="s">
        <v>804</v>
      </c>
      <c r="O933" s="60" t="s">
        <v>805</v>
      </c>
    </row>
    <row r="934" spans="1:15" ht="60" x14ac:dyDescent="0.25">
      <c r="A934">
        <v>9279</v>
      </c>
      <c r="B934">
        <v>27</v>
      </c>
      <c r="C934" s="56" t="s">
        <v>103</v>
      </c>
      <c r="D934">
        <v>2017</v>
      </c>
      <c r="E934">
        <v>28</v>
      </c>
      <c r="F934" s="57">
        <v>0.02</v>
      </c>
      <c r="G934">
        <v>11</v>
      </c>
      <c r="H934" s="58">
        <v>-27.487500000000001</v>
      </c>
      <c r="I934" s="57">
        <v>25.720300000000002</v>
      </c>
      <c r="J934" s="58" t="s">
        <v>1</v>
      </c>
      <c r="K934">
        <v>4.4000000000000004</v>
      </c>
      <c r="L934" s="26"/>
      <c r="M934" s="58">
        <v>109</v>
      </c>
      <c r="N934" s="59" t="s">
        <v>6</v>
      </c>
      <c r="O934" s="60" t="s">
        <v>806</v>
      </c>
    </row>
    <row r="935" spans="1:15" x14ac:dyDescent="0.25">
      <c r="A935">
        <v>9280</v>
      </c>
      <c r="B935">
        <v>27</v>
      </c>
      <c r="C935" s="56" t="s">
        <v>103</v>
      </c>
      <c r="D935">
        <v>2017</v>
      </c>
      <c r="E935">
        <v>11</v>
      </c>
      <c r="F935" s="57">
        <v>17.64</v>
      </c>
      <c r="G935">
        <v>22</v>
      </c>
      <c r="H935" s="58">
        <v>1.9313</v>
      </c>
      <c r="I935" s="57">
        <v>15.1911</v>
      </c>
      <c r="J935" s="58" t="s">
        <v>1</v>
      </c>
      <c r="K935">
        <v>3.8</v>
      </c>
      <c r="L935" s="26">
        <v>3.5</v>
      </c>
      <c r="M935" s="58">
        <v>55</v>
      </c>
      <c r="N935" s="59" t="s">
        <v>289</v>
      </c>
      <c r="O935" s="60" t="s">
        <v>807</v>
      </c>
    </row>
    <row r="936" spans="1:15" ht="60" x14ac:dyDescent="0.25">
      <c r="A936">
        <v>9281</v>
      </c>
      <c r="B936">
        <v>28</v>
      </c>
      <c r="C936" s="56" t="s">
        <v>103</v>
      </c>
      <c r="D936">
        <v>2017</v>
      </c>
      <c r="E936">
        <v>54</v>
      </c>
      <c r="F936" s="57">
        <v>19.48</v>
      </c>
      <c r="G936">
        <v>13</v>
      </c>
      <c r="H936" s="58">
        <v>-29.6553</v>
      </c>
      <c r="I936" s="57">
        <v>25.880800000000001</v>
      </c>
      <c r="J936" s="58" t="s">
        <v>1</v>
      </c>
      <c r="L936" s="26"/>
      <c r="M936" s="58">
        <v>61</v>
      </c>
      <c r="N936" s="59" t="s">
        <v>6</v>
      </c>
      <c r="O936" s="60" t="s">
        <v>783</v>
      </c>
    </row>
    <row r="937" spans="1:15" x14ac:dyDescent="0.25">
      <c r="A937">
        <v>9282</v>
      </c>
      <c r="B937">
        <v>29</v>
      </c>
      <c r="C937" s="56" t="s">
        <v>103</v>
      </c>
      <c r="D937">
        <v>2017</v>
      </c>
      <c r="E937">
        <v>15</v>
      </c>
      <c r="F937" s="57">
        <v>30.35</v>
      </c>
      <c r="G937">
        <v>2</v>
      </c>
      <c r="H937" s="58">
        <v>13.093400000000001</v>
      </c>
      <c r="I937" s="57">
        <v>1.6372</v>
      </c>
      <c r="J937" s="58" t="s">
        <v>1</v>
      </c>
      <c r="K937">
        <v>3.9</v>
      </c>
      <c r="L937" s="26"/>
      <c r="M937" s="58">
        <v>46</v>
      </c>
      <c r="N937" s="59" t="s">
        <v>804</v>
      </c>
      <c r="O937" s="60" t="s">
        <v>808</v>
      </c>
    </row>
    <row r="938" spans="1:15" x14ac:dyDescent="0.25">
      <c r="A938">
        <v>9283</v>
      </c>
      <c r="B938">
        <v>30</v>
      </c>
      <c r="C938" s="56" t="s">
        <v>103</v>
      </c>
      <c r="D938">
        <v>2017</v>
      </c>
      <c r="E938">
        <v>2</v>
      </c>
      <c r="F938" s="57">
        <v>27.39</v>
      </c>
      <c r="G938">
        <v>7</v>
      </c>
      <c r="H938" s="58">
        <v>-0.18970000000000001</v>
      </c>
      <c r="I938" s="57">
        <v>29.681999999999999</v>
      </c>
      <c r="J938" s="58" t="s">
        <v>1</v>
      </c>
      <c r="K938">
        <v>4.7</v>
      </c>
      <c r="L938" s="26">
        <v>5</v>
      </c>
      <c r="M938" s="58">
        <v>72</v>
      </c>
      <c r="N938" s="59" t="s">
        <v>484</v>
      </c>
      <c r="O938" s="60" t="s">
        <v>809</v>
      </c>
    </row>
    <row r="939" spans="1:15" x14ac:dyDescent="0.25">
      <c r="A939">
        <v>9284</v>
      </c>
      <c r="B939">
        <v>31</v>
      </c>
      <c r="C939" s="56" t="s">
        <v>103</v>
      </c>
      <c r="D939">
        <v>2017</v>
      </c>
      <c r="E939">
        <v>35</v>
      </c>
      <c r="F939" s="57">
        <v>25.3</v>
      </c>
      <c r="G939">
        <v>21</v>
      </c>
      <c r="H939" s="58">
        <v>32.289299999999997</v>
      </c>
      <c r="I939" s="57">
        <v>20.8018</v>
      </c>
      <c r="J939" s="58" t="s">
        <v>1</v>
      </c>
      <c r="K939">
        <v>4.4000000000000004</v>
      </c>
      <c r="L939" s="26">
        <v>4.5</v>
      </c>
      <c r="M939" s="58">
        <v>136</v>
      </c>
      <c r="N939" s="59" t="s">
        <v>48</v>
      </c>
      <c r="O939" s="60" t="s">
        <v>810</v>
      </c>
    </row>
    <row r="940" spans="1:15" ht="60" x14ac:dyDescent="0.25">
      <c r="A940">
        <v>9285</v>
      </c>
      <c r="B940">
        <v>2</v>
      </c>
      <c r="C940" s="56" t="s">
        <v>176</v>
      </c>
      <c r="D940">
        <v>2017</v>
      </c>
      <c r="E940">
        <v>46</v>
      </c>
      <c r="F940" s="57">
        <v>52.01</v>
      </c>
      <c r="G940">
        <v>5</v>
      </c>
      <c r="H940" s="58">
        <v>-27.6067</v>
      </c>
      <c r="I940" s="57">
        <v>24.654800000000002</v>
      </c>
      <c r="J940" s="58" t="s">
        <v>1</v>
      </c>
      <c r="K940">
        <v>3.9</v>
      </c>
      <c r="L940" s="26"/>
      <c r="M940" s="58">
        <v>50</v>
      </c>
      <c r="N940" s="59" t="s">
        <v>6</v>
      </c>
      <c r="O940" s="61" t="s">
        <v>297</v>
      </c>
    </row>
    <row r="941" spans="1:15" ht="60" x14ac:dyDescent="0.25">
      <c r="A941">
        <v>9286</v>
      </c>
      <c r="B941">
        <v>3</v>
      </c>
      <c r="C941" s="56" t="s">
        <v>176</v>
      </c>
      <c r="D941">
        <v>2017</v>
      </c>
      <c r="E941">
        <v>17</v>
      </c>
      <c r="F941" s="57">
        <v>30.87</v>
      </c>
      <c r="G941">
        <v>21</v>
      </c>
      <c r="H941" s="58">
        <v>-28.606400000000001</v>
      </c>
      <c r="I941" s="57">
        <v>25.262599999999999</v>
      </c>
      <c r="J941" s="58" t="s">
        <v>1</v>
      </c>
      <c r="K941">
        <v>4.3</v>
      </c>
      <c r="L941" s="26"/>
      <c r="M941" s="58">
        <v>40</v>
      </c>
      <c r="N941" s="59" t="s">
        <v>6</v>
      </c>
      <c r="O941" s="61" t="s">
        <v>811</v>
      </c>
    </row>
    <row r="942" spans="1:15" ht="60" x14ac:dyDescent="0.25">
      <c r="A942">
        <v>9287</v>
      </c>
      <c r="B942">
        <v>4</v>
      </c>
      <c r="C942" s="56" t="s">
        <v>176</v>
      </c>
      <c r="D942">
        <v>2017</v>
      </c>
      <c r="E942">
        <v>42</v>
      </c>
      <c r="F942" s="57">
        <v>56.21</v>
      </c>
      <c r="G942">
        <v>23</v>
      </c>
      <c r="H942" s="58">
        <v>-28.8034</v>
      </c>
      <c r="I942" s="57">
        <v>23.698899999999998</v>
      </c>
      <c r="J942" s="58" t="s">
        <v>1</v>
      </c>
      <c r="K942">
        <v>4</v>
      </c>
      <c r="L942" s="26"/>
      <c r="M942" s="58">
        <v>166</v>
      </c>
      <c r="N942" s="59" t="s">
        <v>6</v>
      </c>
      <c r="O942" s="61" t="s">
        <v>812</v>
      </c>
    </row>
    <row r="943" spans="1:15" ht="75" x14ac:dyDescent="0.25">
      <c r="A943">
        <v>9288</v>
      </c>
      <c r="B943">
        <v>6</v>
      </c>
      <c r="C943" s="56" t="s">
        <v>176</v>
      </c>
      <c r="D943">
        <v>2017</v>
      </c>
      <c r="E943">
        <v>43</v>
      </c>
      <c r="F943" s="57">
        <v>27.03</v>
      </c>
      <c r="G943">
        <v>0</v>
      </c>
      <c r="H943" s="58">
        <v>34.6479</v>
      </c>
      <c r="I943" s="57">
        <v>21.899000000000001</v>
      </c>
      <c r="J943" s="58" t="s">
        <v>813</v>
      </c>
      <c r="K943">
        <v>3.6</v>
      </c>
      <c r="L943" s="26"/>
      <c r="M943" s="58">
        <v>141</v>
      </c>
      <c r="N943" s="59" t="s">
        <v>814</v>
      </c>
      <c r="O943" s="61" t="s">
        <v>815</v>
      </c>
    </row>
    <row r="944" spans="1:15" ht="75" x14ac:dyDescent="0.25">
      <c r="A944">
        <v>9289</v>
      </c>
      <c r="B944">
        <v>6</v>
      </c>
      <c r="C944" s="56" t="s">
        <v>176</v>
      </c>
      <c r="D944">
        <v>2017</v>
      </c>
      <c r="E944">
        <v>14</v>
      </c>
      <c r="F944" s="57">
        <v>0.62</v>
      </c>
      <c r="G944">
        <v>14</v>
      </c>
      <c r="H944" s="58">
        <v>26.6052</v>
      </c>
      <c r="I944" s="57">
        <v>27.482900000000001</v>
      </c>
      <c r="J944" s="58" t="s">
        <v>1</v>
      </c>
      <c r="K944">
        <v>3.9</v>
      </c>
      <c r="L944" s="26"/>
      <c r="M944" s="58">
        <v>80</v>
      </c>
      <c r="N944" s="59" t="s">
        <v>72</v>
      </c>
      <c r="O944" s="61" t="s">
        <v>816</v>
      </c>
    </row>
    <row r="945" spans="1:15" ht="75" x14ac:dyDescent="0.25">
      <c r="A945">
        <v>9290</v>
      </c>
      <c r="B945">
        <v>7</v>
      </c>
      <c r="C945" s="56" t="s">
        <v>176</v>
      </c>
      <c r="D945">
        <v>2017</v>
      </c>
      <c r="E945">
        <v>12</v>
      </c>
      <c r="F945" s="57">
        <v>46.57</v>
      </c>
      <c r="G945">
        <v>19</v>
      </c>
      <c r="H945" s="58">
        <v>33.989600000000003</v>
      </c>
      <c r="I945" s="57">
        <v>22.970800000000001</v>
      </c>
      <c r="J945" s="58" t="s">
        <v>1</v>
      </c>
      <c r="K945">
        <v>3.6</v>
      </c>
      <c r="L945" s="26">
        <v>3.9</v>
      </c>
      <c r="M945" s="58">
        <v>36</v>
      </c>
      <c r="N945" s="59" t="s">
        <v>814</v>
      </c>
      <c r="O945" s="61" t="s">
        <v>817</v>
      </c>
    </row>
    <row r="946" spans="1:15" ht="60" x14ac:dyDescent="0.25">
      <c r="A946">
        <v>9291</v>
      </c>
      <c r="B946">
        <v>8</v>
      </c>
      <c r="C946" s="56" t="s">
        <v>176</v>
      </c>
      <c r="D946">
        <v>2017</v>
      </c>
      <c r="E946">
        <v>30</v>
      </c>
      <c r="F946" s="57">
        <v>27.3</v>
      </c>
      <c r="G946">
        <v>16</v>
      </c>
      <c r="H946" s="58">
        <v>-25.502199999999998</v>
      </c>
      <c r="I946" s="57">
        <v>29.142499999999998</v>
      </c>
      <c r="J946" s="58" t="s">
        <v>1</v>
      </c>
      <c r="K946">
        <v>4.5</v>
      </c>
      <c r="L946" s="26">
        <v>2.7</v>
      </c>
      <c r="M946" s="58">
        <v>124</v>
      </c>
      <c r="N946" s="59" t="s">
        <v>6</v>
      </c>
      <c r="O946" s="61" t="s">
        <v>818</v>
      </c>
    </row>
    <row r="947" spans="1:15" ht="105" x14ac:dyDescent="0.25">
      <c r="A947">
        <v>9292</v>
      </c>
      <c r="B947">
        <v>8</v>
      </c>
      <c r="C947" s="56" t="s">
        <v>176</v>
      </c>
      <c r="D947">
        <v>2017</v>
      </c>
      <c r="E947">
        <v>47</v>
      </c>
      <c r="F947" s="57">
        <v>20.68</v>
      </c>
      <c r="G947">
        <v>21</v>
      </c>
      <c r="H947" s="58">
        <v>-26.232700000000001</v>
      </c>
      <c r="I947" s="57">
        <v>28.628399999999999</v>
      </c>
      <c r="J947" s="58" t="s">
        <v>1</v>
      </c>
      <c r="K947">
        <v>4.2</v>
      </c>
      <c r="L947" s="26">
        <v>2.5</v>
      </c>
      <c r="M947" s="58">
        <v>135</v>
      </c>
      <c r="N947" s="59" t="s">
        <v>6</v>
      </c>
      <c r="O947" s="61" t="s">
        <v>819</v>
      </c>
    </row>
    <row r="948" spans="1:15" ht="60" x14ac:dyDescent="0.25">
      <c r="A948">
        <v>9293</v>
      </c>
      <c r="B948">
        <v>8</v>
      </c>
      <c r="C948" s="56" t="s">
        <v>176</v>
      </c>
      <c r="D948">
        <v>2017</v>
      </c>
      <c r="E948">
        <v>37</v>
      </c>
      <c r="F948" s="57">
        <v>31.47</v>
      </c>
      <c r="G948">
        <v>23</v>
      </c>
      <c r="H948" s="58">
        <v>-18.8843</v>
      </c>
      <c r="I948" s="57">
        <v>44.529600000000002</v>
      </c>
      <c r="J948" s="58" t="s">
        <v>1</v>
      </c>
      <c r="K948">
        <v>4.7</v>
      </c>
      <c r="L948" s="26"/>
      <c r="M948" s="58">
        <v>48</v>
      </c>
      <c r="N948" s="59" t="s">
        <v>177</v>
      </c>
      <c r="O948" s="61" t="s">
        <v>820</v>
      </c>
    </row>
    <row r="949" spans="1:15" ht="60" x14ac:dyDescent="0.25">
      <c r="A949">
        <v>9294</v>
      </c>
      <c r="B949">
        <v>9</v>
      </c>
      <c r="C949" s="56" t="s">
        <v>176</v>
      </c>
      <c r="D949">
        <v>2017</v>
      </c>
      <c r="E949">
        <v>18</v>
      </c>
      <c r="F949" s="57">
        <v>55.33</v>
      </c>
      <c r="G949">
        <v>0</v>
      </c>
      <c r="H949" s="58">
        <v>-27.743500000000001</v>
      </c>
      <c r="I949" s="57">
        <v>27.2958</v>
      </c>
      <c r="J949" s="58" t="s">
        <v>1</v>
      </c>
      <c r="K949">
        <v>4.2</v>
      </c>
      <c r="L949" s="26"/>
      <c r="M949" s="58">
        <v>145</v>
      </c>
      <c r="N949" s="59" t="s">
        <v>6</v>
      </c>
      <c r="O949" s="61" t="s">
        <v>821</v>
      </c>
    </row>
    <row r="950" spans="1:15" ht="60" x14ac:dyDescent="0.25">
      <c r="A950">
        <v>9295</v>
      </c>
      <c r="B950">
        <v>9</v>
      </c>
      <c r="C950" s="56" t="s">
        <v>176</v>
      </c>
      <c r="D950">
        <v>2017</v>
      </c>
      <c r="E950">
        <v>45</v>
      </c>
      <c r="F950" s="57">
        <v>37.72</v>
      </c>
      <c r="G950">
        <v>1</v>
      </c>
      <c r="H950" s="58">
        <v>35.879600000000003</v>
      </c>
      <c r="I950" s="57">
        <v>-3.4401999999999999</v>
      </c>
      <c r="J950" s="58" t="s">
        <v>1</v>
      </c>
      <c r="K950">
        <v>3.2</v>
      </c>
      <c r="L950" s="26">
        <v>3.2</v>
      </c>
      <c r="M950" s="58">
        <v>81</v>
      </c>
      <c r="N950" s="59" t="s">
        <v>822</v>
      </c>
      <c r="O950" s="61" t="s">
        <v>823</v>
      </c>
    </row>
    <row r="951" spans="1:15" ht="75" x14ac:dyDescent="0.25">
      <c r="A951">
        <v>9296</v>
      </c>
      <c r="B951">
        <v>9</v>
      </c>
      <c r="C951" s="56" t="s">
        <v>176</v>
      </c>
      <c r="D951">
        <v>2017</v>
      </c>
      <c r="E951">
        <v>56</v>
      </c>
      <c r="F951" s="57">
        <v>2.86</v>
      </c>
      <c r="G951">
        <v>13</v>
      </c>
      <c r="H951" s="58">
        <v>32.6479</v>
      </c>
      <c r="I951" s="57">
        <v>26.429600000000001</v>
      </c>
      <c r="J951" s="58" t="s">
        <v>1</v>
      </c>
      <c r="K951">
        <v>4.3</v>
      </c>
      <c r="L951" s="26"/>
      <c r="M951" s="58">
        <v>26</v>
      </c>
      <c r="N951" s="59" t="s">
        <v>824</v>
      </c>
      <c r="O951" s="61" t="s">
        <v>825</v>
      </c>
    </row>
    <row r="952" spans="1:15" ht="60" x14ac:dyDescent="0.25">
      <c r="A952">
        <v>9297</v>
      </c>
      <c r="B952">
        <v>10</v>
      </c>
      <c r="C952" s="56" t="s">
        <v>176</v>
      </c>
      <c r="D952">
        <v>2017</v>
      </c>
      <c r="E952">
        <v>25</v>
      </c>
      <c r="F952" s="57">
        <v>31.56</v>
      </c>
      <c r="G952">
        <v>13</v>
      </c>
      <c r="H952" s="58">
        <v>-25.824300000000001</v>
      </c>
      <c r="I952" s="57">
        <v>31.470500000000001</v>
      </c>
      <c r="J952" s="58" t="s">
        <v>1</v>
      </c>
      <c r="K952">
        <v>3.8</v>
      </c>
      <c r="L952" s="26">
        <v>3.4</v>
      </c>
      <c r="M952" s="58">
        <v>175</v>
      </c>
      <c r="N952" s="59" t="s">
        <v>6</v>
      </c>
      <c r="O952" s="61" t="s">
        <v>826</v>
      </c>
    </row>
    <row r="953" spans="1:15" ht="75" x14ac:dyDescent="0.25">
      <c r="A953">
        <v>9298</v>
      </c>
      <c r="B953">
        <v>11</v>
      </c>
      <c r="C953" s="56" t="s">
        <v>176</v>
      </c>
      <c r="D953">
        <v>2017</v>
      </c>
      <c r="E953">
        <v>4</v>
      </c>
      <c r="F953" s="57">
        <v>55.94</v>
      </c>
      <c r="G953">
        <v>11</v>
      </c>
      <c r="H953" s="58">
        <v>26.150600000000001</v>
      </c>
      <c r="I953" s="57">
        <v>-7.4863999999999997</v>
      </c>
      <c r="J953" s="58" t="s">
        <v>1</v>
      </c>
      <c r="K953">
        <v>3.8</v>
      </c>
      <c r="L953" s="26"/>
      <c r="M953" s="58">
        <v>114</v>
      </c>
      <c r="N953" s="59" t="s">
        <v>15</v>
      </c>
      <c r="O953" s="61" t="s">
        <v>827</v>
      </c>
    </row>
    <row r="954" spans="1:15" ht="60" x14ac:dyDescent="0.25">
      <c r="A954">
        <v>9299</v>
      </c>
      <c r="B954">
        <v>11</v>
      </c>
      <c r="C954" s="56" t="s">
        <v>176</v>
      </c>
      <c r="D954">
        <v>2017</v>
      </c>
      <c r="E954">
        <v>31</v>
      </c>
      <c r="F954" s="57">
        <v>56.56</v>
      </c>
      <c r="G954">
        <v>14</v>
      </c>
      <c r="H954" s="58">
        <v>-28.9635</v>
      </c>
      <c r="I954" s="57">
        <v>23.316800000000001</v>
      </c>
      <c r="J954" s="58" t="s">
        <v>1</v>
      </c>
      <c r="K954">
        <v>4.2</v>
      </c>
      <c r="L954" s="26"/>
      <c r="M954" s="58">
        <v>169</v>
      </c>
      <c r="N954" s="59" t="s">
        <v>6</v>
      </c>
      <c r="O954" s="61" t="s">
        <v>588</v>
      </c>
    </row>
    <row r="955" spans="1:15" ht="45" x14ac:dyDescent="0.25">
      <c r="A955">
        <v>9300</v>
      </c>
      <c r="B955">
        <v>11</v>
      </c>
      <c r="C955" s="56" t="s">
        <v>176</v>
      </c>
      <c r="D955">
        <v>2017</v>
      </c>
      <c r="E955">
        <v>35</v>
      </c>
      <c r="F955" s="57">
        <v>51.79</v>
      </c>
      <c r="G955">
        <v>17</v>
      </c>
      <c r="H955" s="58">
        <v>24.104099999999999</v>
      </c>
      <c r="I955" s="57">
        <v>32.955100000000002</v>
      </c>
      <c r="J955" s="58" t="s">
        <v>1</v>
      </c>
      <c r="K955">
        <v>3.8</v>
      </c>
      <c r="L955" s="26"/>
      <c r="M955" s="58">
        <v>172</v>
      </c>
      <c r="N955" s="59" t="s">
        <v>72</v>
      </c>
      <c r="O955" s="61" t="s">
        <v>828</v>
      </c>
    </row>
    <row r="956" spans="1:15" ht="45" x14ac:dyDescent="0.25">
      <c r="A956">
        <v>9301</v>
      </c>
      <c r="B956">
        <v>11</v>
      </c>
      <c r="C956" s="56" t="s">
        <v>176</v>
      </c>
      <c r="D956">
        <v>2017</v>
      </c>
      <c r="E956">
        <v>4</v>
      </c>
      <c r="F956" s="57">
        <v>34.479999999999997</v>
      </c>
      <c r="G956">
        <v>18</v>
      </c>
      <c r="H956" s="58">
        <v>-5.5026000000000002</v>
      </c>
      <c r="I956" s="57">
        <v>51.052900000000001</v>
      </c>
      <c r="J956" s="58" t="s">
        <v>1</v>
      </c>
      <c r="K956">
        <v>3.9</v>
      </c>
      <c r="L956" s="26"/>
      <c r="M956" s="58">
        <v>116</v>
      </c>
      <c r="N956" s="59" t="s">
        <v>829</v>
      </c>
      <c r="O956" s="61" t="s">
        <v>830</v>
      </c>
    </row>
    <row r="957" spans="1:15" ht="60" x14ac:dyDescent="0.25">
      <c r="A957">
        <v>9302</v>
      </c>
      <c r="B957">
        <v>11</v>
      </c>
      <c r="C957" s="56" t="s">
        <v>176</v>
      </c>
      <c r="D957">
        <v>2017</v>
      </c>
      <c r="E957">
        <v>48</v>
      </c>
      <c r="F957" s="57">
        <v>14.15</v>
      </c>
      <c r="G957">
        <v>20</v>
      </c>
      <c r="H957" s="58">
        <v>-27.0077</v>
      </c>
      <c r="I957" s="57">
        <v>26.965299999999999</v>
      </c>
      <c r="J957" s="58" t="s">
        <v>1</v>
      </c>
      <c r="L957" s="26">
        <v>2.1</v>
      </c>
      <c r="M957" s="58">
        <v>134</v>
      </c>
      <c r="N957" s="59" t="s">
        <v>6</v>
      </c>
      <c r="O957" s="61" t="s">
        <v>821</v>
      </c>
    </row>
    <row r="958" spans="1:15" ht="60" x14ac:dyDescent="0.25">
      <c r="A958">
        <v>9303</v>
      </c>
      <c r="B958">
        <v>12</v>
      </c>
      <c r="C958" s="56" t="s">
        <v>176</v>
      </c>
      <c r="D958">
        <v>2017</v>
      </c>
      <c r="E958">
        <v>37</v>
      </c>
      <c r="F958" s="57">
        <v>49</v>
      </c>
      <c r="G958">
        <v>2</v>
      </c>
      <c r="H958" s="58">
        <v>-23.529800000000002</v>
      </c>
      <c r="I958" s="57">
        <v>25.9421</v>
      </c>
      <c r="J958" s="58">
        <v>12</v>
      </c>
      <c r="K958">
        <v>4.3</v>
      </c>
      <c r="L958" s="26">
        <v>5.5</v>
      </c>
      <c r="M958" s="58">
        <v>91</v>
      </c>
      <c r="N958" s="59" t="s">
        <v>66</v>
      </c>
      <c r="O958" s="61" t="s">
        <v>831</v>
      </c>
    </row>
    <row r="959" spans="1:15" ht="90" x14ac:dyDescent="0.25">
      <c r="A959">
        <v>9304</v>
      </c>
      <c r="B959">
        <v>12</v>
      </c>
      <c r="C959" s="56" t="s">
        <v>176</v>
      </c>
      <c r="D959">
        <v>2017</v>
      </c>
      <c r="E959">
        <v>9</v>
      </c>
      <c r="F959" s="57">
        <v>21.26</v>
      </c>
      <c r="G959">
        <v>4</v>
      </c>
      <c r="H959" s="58">
        <v>-24.519100000000002</v>
      </c>
      <c r="I959" s="57">
        <v>30.742100000000001</v>
      </c>
      <c r="J959" s="58" t="s">
        <v>1</v>
      </c>
      <c r="K959">
        <v>4.5</v>
      </c>
      <c r="L959" s="26">
        <v>3.7</v>
      </c>
      <c r="M959" s="58">
        <v>155</v>
      </c>
      <c r="N959" s="59" t="s">
        <v>6</v>
      </c>
      <c r="O959" s="61" t="s">
        <v>832</v>
      </c>
    </row>
    <row r="960" spans="1:15" ht="60" x14ac:dyDescent="0.25">
      <c r="A960">
        <v>9305</v>
      </c>
      <c r="B960">
        <v>12</v>
      </c>
      <c r="C960" s="56" t="s">
        <v>176</v>
      </c>
      <c r="D960">
        <v>2017</v>
      </c>
      <c r="E960">
        <v>24</v>
      </c>
      <c r="F960" s="57">
        <v>49.82</v>
      </c>
      <c r="G960">
        <v>15</v>
      </c>
      <c r="H960" s="58">
        <v>-24.0533</v>
      </c>
      <c r="I960" s="57">
        <v>30.029800000000002</v>
      </c>
      <c r="J960" s="58" t="s">
        <v>1</v>
      </c>
      <c r="K960">
        <v>4</v>
      </c>
      <c r="L960" s="26">
        <v>3.4</v>
      </c>
      <c r="M960" s="58">
        <v>120</v>
      </c>
      <c r="N960" s="59" t="s">
        <v>6</v>
      </c>
      <c r="O960" s="61" t="s">
        <v>833</v>
      </c>
    </row>
    <row r="961" spans="1:15" ht="90" x14ac:dyDescent="0.25">
      <c r="A961">
        <v>9306</v>
      </c>
      <c r="B961">
        <v>12</v>
      </c>
      <c r="C961" s="56" t="s">
        <v>176</v>
      </c>
      <c r="D961">
        <v>2017</v>
      </c>
      <c r="E961">
        <v>34</v>
      </c>
      <c r="F961" s="57">
        <v>1.18</v>
      </c>
      <c r="G961">
        <v>18</v>
      </c>
      <c r="H961" s="58">
        <v>3.0642999999999998</v>
      </c>
      <c r="I961" s="57">
        <v>-13.9642</v>
      </c>
      <c r="J961" s="58" t="s">
        <v>1</v>
      </c>
      <c r="K961">
        <v>3.8</v>
      </c>
      <c r="L961" s="26"/>
      <c r="M961" s="58">
        <v>129</v>
      </c>
      <c r="N961" s="59" t="s">
        <v>834</v>
      </c>
      <c r="O961" s="61" t="s">
        <v>815</v>
      </c>
    </row>
    <row r="962" spans="1:15" ht="45" x14ac:dyDescent="0.25">
      <c r="A962">
        <v>9307</v>
      </c>
      <c r="B962">
        <v>13</v>
      </c>
      <c r="C962" s="56" t="s">
        <v>176</v>
      </c>
      <c r="D962">
        <v>2017</v>
      </c>
      <c r="E962">
        <v>34</v>
      </c>
      <c r="F962" s="57">
        <v>39.33</v>
      </c>
      <c r="G962">
        <v>13</v>
      </c>
      <c r="H962" s="58">
        <v>30.66</v>
      </c>
      <c r="I962" s="57">
        <v>9.2531999999999996</v>
      </c>
      <c r="J962" s="58" t="s">
        <v>1</v>
      </c>
      <c r="K962">
        <v>3.8</v>
      </c>
      <c r="L962" s="26">
        <v>3.4</v>
      </c>
      <c r="M962" s="58">
        <v>119</v>
      </c>
      <c r="N962" s="59" t="s">
        <v>2</v>
      </c>
      <c r="O962" s="61" t="s">
        <v>835</v>
      </c>
    </row>
    <row r="963" spans="1:15" ht="60" x14ac:dyDescent="0.25">
      <c r="A963">
        <v>9308</v>
      </c>
      <c r="B963">
        <v>13</v>
      </c>
      <c r="C963" s="56" t="s">
        <v>176</v>
      </c>
      <c r="D963">
        <v>2017</v>
      </c>
      <c r="E963">
        <v>53</v>
      </c>
      <c r="F963" s="57">
        <v>37.92</v>
      </c>
      <c r="G963">
        <v>13</v>
      </c>
      <c r="H963" s="58">
        <v>-27.235600000000002</v>
      </c>
      <c r="I963" s="57">
        <v>28.1751</v>
      </c>
      <c r="J963" s="58" t="s">
        <v>1</v>
      </c>
      <c r="K963">
        <v>3.9</v>
      </c>
      <c r="L963" s="26">
        <v>2.4</v>
      </c>
      <c r="M963" s="58">
        <v>140</v>
      </c>
      <c r="N963" s="59" t="s">
        <v>6</v>
      </c>
      <c r="O963" s="61" t="s">
        <v>112</v>
      </c>
    </row>
    <row r="964" spans="1:15" ht="45" x14ac:dyDescent="0.25">
      <c r="A964">
        <v>9309</v>
      </c>
      <c r="B964">
        <v>13</v>
      </c>
      <c r="C964" s="56" t="s">
        <v>176</v>
      </c>
      <c r="D964">
        <v>2017</v>
      </c>
      <c r="E964">
        <v>53</v>
      </c>
      <c r="F964" s="57">
        <v>47.8</v>
      </c>
      <c r="G964">
        <v>14</v>
      </c>
      <c r="H964" s="58">
        <v>13.344900000000001</v>
      </c>
      <c r="I964" s="57">
        <v>2.0708899999999999</v>
      </c>
      <c r="J964" s="58" t="s">
        <v>1</v>
      </c>
      <c r="K964">
        <v>3.9</v>
      </c>
      <c r="L964" s="26"/>
      <c r="M964" s="58">
        <v>145</v>
      </c>
      <c r="N964" s="59" t="s">
        <v>15</v>
      </c>
      <c r="O964" s="61" t="s">
        <v>50</v>
      </c>
    </row>
    <row r="965" spans="1:15" ht="45" x14ac:dyDescent="0.25">
      <c r="A965">
        <v>9310</v>
      </c>
      <c r="B965">
        <v>14</v>
      </c>
      <c r="C965" s="56" t="s">
        <v>176</v>
      </c>
      <c r="D965">
        <v>2017</v>
      </c>
      <c r="E965">
        <v>27</v>
      </c>
      <c r="F965" s="57">
        <v>7.22</v>
      </c>
      <c r="G965">
        <v>0</v>
      </c>
      <c r="H965" s="58">
        <v>30.1831</v>
      </c>
      <c r="I965" s="57">
        <v>7.7058999999999997</v>
      </c>
      <c r="J965" s="58" t="s">
        <v>1</v>
      </c>
      <c r="K965">
        <v>4.0999999999999996</v>
      </c>
      <c r="L965" s="26">
        <v>3.3</v>
      </c>
      <c r="M965" s="58">
        <v>140</v>
      </c>
      <c r="N965" s="59" t="s">
        <v>10</v>
      </c>
      <c r="O965" s="61" t="s">
        <v>405</v>
      </c>
    </row>
    <row r="966" spans="1:15" ht="30" x14ac:dyDescent="0.25">
      <c r="A966">
        <v>9311</v>
      </c>
      <c r="B966">
        <v>14</v>
      </c>
      <c r="C966" s="56" t="s">
        <v>176</v>
      </c>
      <c r="D966">
        <v>2017</v>
      </c>
      <c r="E966">
        <v>31</v>
      </c>
      <c r="F966" s="57">
        <v>57.73</v>
      </c>
      <c r="G966">
        <v>0</v>
      </c>
      <c r="H966" s="58">
        <v>22.0946</v>
      </c>
      <c r="I966" s="57">
        <v>15.961399999999999</v>
      </c>
      <c r="J966" s="58" t="s">
        <v>1</v>
      </c>
      <c r="K966">
        <v>4.2</v>
      </c>
      <c r="L966" s="26">
        <v>3.1</v>
      </c>
      <c r="M966" s="58">
        <v>48</v>
      </c>
      <c r="N966" s="59" t="s">
        <v>139</v>
      </c>
      <c r="O966" s="61" t="s">
        <v>754</v>
      </c>
    </row>
    <row r="967" spans="1:15" ht="45" x14ac:dyDescent="0.25">
      <c r="A967">
        <v>9312</v>
      </c>
      <c r="B967">
        <v>14</v>
      </c>
      <c r="C967" s="56" t="s">
        <v>176</v>
      </c>
      <c r="D967">
        <v>2017</v>
      </c>
      <c r="E967">
        <v>25</v>
      </c>
      <c r="F967" s="57">
        <v>33.54</v>
      </c>
      <c r="G967">
        <v>3</v>
      </c>
      <c r="H967" s="58">
        <v>13.9168</v>
      </c>
      <c r="I967" s="57">
        <v>2.0627</v>
      </c>
      <c r="J967" s="58" t="s">
        <v>355</v>
      </c>
      <c r="K967">
        <v>3.9</v>
      </c>
      <c r="L967" s="26"/>
      <c r="M967" s="58">
        <v>102</v>
      </c>
      <c r="N967" s="59" t="s">
        <v>15</v>
      </c>
      <c r="O967" s="61" t="s">
        <v>836</v>
      </c>
    </row>
    <row r="968" spans="1:15" ht="45" x14ac:dyDescent="0.25">
      <c r="A968">
        <v>9313</v>
      </c>
      <c r="B968">
        <v>14</v>
      </c>
      <c r="C968" s="56" t="s">
        <v>176</v>
      </c>
      <c r="D968">
        <v>2017</v>
      </c>
      <c r="E968">
        <v>18</v>
      </c>
      <c r="F968" s="57">
        <v>10.94</v>
      </c>
      <c r="G968">
        <v>18</v>
      </c>
      <c r="H968" s="58">
        <v>24.6767</v>
      </c>
      <c r="I968" s="57">
        <v>-9.9408999999999992</v>
      </c>
      <c r="J968" s="58" t="s">
        <v>1</v>
      </c>
      <c r="L968" s="26">
        <v>3.6</v>
      </c>
      <c r="M968" s="58">
        <v>49</v>
      </c>
      <c r="N968" s="59" t="s">
        <v>15</v>
      </c>
      <c r="O968" s="61" t="s">
        <v>172</v>
      </c>
    </row>
    <row r="969" spans="1:15" ht="45" x14ac:dyDescent="0.25">
      <c r="A969">
        <v>9314</v>
      </c>
      <c r="B969">
        <v>14</v>
      </c>
      <c r="C969" s="56" t="s">
        <v>176</v>
      </c>
      <c r="D969">
        <v>2017</v>
      </c>
      <c r="E969">
        <v>11</v>
      </c>
      <c r="F969" s="57">
        <v>19.3</v>
      </c>
      <c r="G969">
        <v>21</v>
      </c>
      <c r="H969" s="58">
        <v>30.137499999999999</v>
      </c>
      <c r="I969" s="57">
        <v>21.446300000000001</v>
      </c>
      <c r="J969" s="58" t="s">
        <v>1</v>
      </c>
      <c r="K969">
        <v>3.9</v>
      </c>
      <c r="L969" s="26">
        <v>3.4</v>
      </c>
      <c r="M969" s="58">
        <v>12</v>
      </c>
      <c r="N969" s="59" t="s">
        <v>135</v>
      </c>
      <c r="O969" s="61" t="s">
        <v>837</v>
      </c>
    </row>
    <row r="970" spans="1:15" ht="45" x14ac:dyDescent="0.25">
      <c r="A970">
        <v>9315</v>
      </c>
      <c r="B970">
        <v>15</v>
      </c>
      <c r="C970" s="56" t="s">
        <v>176</v>
      </c>
      <c r="D970">
        <v>2017</v>
      </c>
      <c r="E970">
        <v>5</v>
      </c>
      <c r="F970" s="57">
        <v>45.77</v>
      </c>
      <c r="G970">
        <v>0</v>
      </c>
      <c r="H970" s="58">
        <v>20.8249</v>
      </c>
      <c r="I970" s="57">
        <v>0.54310000000000003</v>
      </c>
      <c r="J970" s="58" t="s">
        <v>1</v>
      </c>
      <c r="K970">
        <v>4.2</v>
      </c>
      <c r="L970" s="26">
        <v>3.3</v>
      </c>
      <c r="M970" s="58">
        <v>89</v>
      </c>
      <c r="N970" s="59" t="s">
        <v>15</v>
      </c>
      <c r="O970" s="61" t="s">
        <v>838</v>
      </c>
    </row>
    <row r="971" spans="1:15" ht="45" x14ac:dyDescent="0.25">
      <c r="A971">
        <v>9316</v>
      </c>
      <c r="B971">
        <v>15</v>
      </c>
      <c r="C971" s="56" t="s">
        <v>176</v>
      </c>
      <c r="D971">
        <v>2017</v>
      </c>
      <c r="E971">
        <v>41</v>
      </c>
      <c r="F971" s="57">
        <v>36.71</v>
      </c>
      <c r="G971">
        <v>6</v>
      </c>
      <c r="H971" s="58">
        <v>35.822200000000002</v>
      </c>
      <c r="I971" s="57">
        <v>4.3220000000000001</v>
      </c>
      <c r="J971" s="58" t="s">
        <v>1</v>
      </c>
      <c r="K971">
        <v>3.4</v>
      </c>
      <c r="L971" s="26">
        <v>3.7</v>
      </c>
      <c r="M971" s="58">
        <v>21</v>
      </c>
      <c r="N971" s="59" t="s">
        <v>10</v>
      </c>
      <c r="O971" s="61" t="s">
        <v>839</v>
      </c>
    </row>
    <row r="972" spans="1:15" ht="45" x14ac:dyDescent="0.25">
      <c r="A972">
        <v>9317</v>
      </c>
      <c r="B972">
        <v>15</v>
      </c>
      <c r="C972" s="56" t="s">
        <v>176</v>
      </c>
      <c r="D972">
        <v>2017</v>
      </c>
      <c r="E972">
        <v>55</v>
      </c>
      <c r="F972" s="57">
        <v>20.58</v>
      </c>
      <c r="G972">
        <v>8</v>
      </c>
      <c r="H972" s="58">
        <v>1.5604</v>
      </c>
      <c r="I972" s="57">
        <v>36.679900000000004</v>
      </c>
      <c r="J972" s="58" t="s">
        <v>1</v>
      </c>
      <c r="K972">
        <v>4.0999999999999996</v>
      </c>
      <c r="L972" s="26"/>
      <c r="M972" s="58">
        <v>90</v>
      </c>
      <c r="N972" s="59" t="s">
        <v>13</v>
      </c>
      <c r="O972" s="61" t="s">
        <v>840</v>
      </c>
    </row>
    <row r="973" spans="1:15" ht="60" x14ac:dyDescent="0.25">
      <c r="A973">
        <v>9318</v>
      </c>
      <c r="B973">
        <v>15</v>
      </c>
      <c r="C973" s="56" t="s">
        <v>176</v>
      </c>
      <c r="D973">
        <v>2017</v>
      </c>
      <c r="E973">
        <v>19</v>
      </c>
      <c r="F973" s="57">
        <v>45.8</v>
      </c>
      <c r="G973">
        <v>11</v>
      </c>
      <c r="H973" s="58">
        <v>-25.089700000000001</v>
      </c>
      <c r="I973" s="57">
        <v>28.037800000000001</v>
      </c>
      <c r="J973" s="58" t="s">
        <v>1</v>
      </c>
      <c r="K973">
        <v>4.3</v>
      </c>
      <c r="L973" s="26">
        <v>3.5</v>
      </c>
      <c r="M973" s="58">
        <v>114</v>
      </c>
      <c r="N973" s="59" t="s">
        <v>6</v>
      </c>
      <c r="O973" s="61" t="s">
        <v>841</v>
      </c>
    </row>
    <row r="974" spans="1:15" ht="45" x14ac:dyDescent="0.25">
      <c r="A974">
        <v>9319</v>
      </c>
      <c r="B974">
        <v>15</v>
      </c>
      <c r="C974" s="56" t="s">
        <v>176</v>
      </c>
      <c r="D974">
        <v>2017</v>
      </c>
      <c r="E974">
        <v>29</v>
      </c>
      <c r="F974" s="57">
        <v>27.62</v>
      </c>
      <c r="G974">
        <v>14</v>
      </c>
      <c r="H974" s="58">
        <v>36.136899999999997</v>
      </c>
      <c r="I974" s="57">
        <v>7.1367000000000003</v>
      </c>
      <c r="J974" s="58" t="s">
        <v>1</v>
      </c>
      <c r="K974">
        <v>3.6</v>
      </c>
      <c r="L974" s="26"/>
      <c r="M974" s="58">
        <v>40</v>
      </c>
      <c r="N974" s="59" t="s">
        <v>10</v>
      </c>
      <c r="O974" s="61" t="s">
        <v>770</v>
      </c>
    </row>
    <row r="975" spans="1:15" ht="45" x14ac:dyDescent="0.25">
      <c r="A975">
        <v>9320</v>
      </c>
      <c r="B975">
        <v>15</v>
      </c>
      <c r="C975" s="56" t="s">
        <v>176</v>
      </c>
      <c r="D975">
        <v>2017</v>
      </c>
      <c r="E975">
        <v>50</v>
      </c>
      <c r="F975" s="57">
        <v>43.18</v>
      </c>
      <c r="G975">
        <v>14</v>
      </c>
      <c r="H975" s="58">
        <v>35.777099999999997</v>
      </c>
      <c r="I975" s="57">
        <v>5.7876000000000003</v>
      </c>
      <c r="J975" s="58" t="s">
        <v>1</v>
      </c>
      <c r="K975">
        <v>4.3</v>
      </c>
      <c r="L975" s="26">
        <v>4.0999999999999996</v>
      </c>
      <c r="M975" s="58">
        <v>123</v>
      </c>
      <c r="N975" s="59" t="s">
        <v>10</v>
      </c>
      <c r="O975" s="61" t="s">
        <v>842</v>
      </c>
    </row>
    <row r="976" spans="1:15" ht="45" x14ac:dyDescent="0.25">
      <c r="A976">
        <v>9321</v>
      </c>
      <c r="B976">
        <v>15</v>
      </c>
      <c r="C976" s="56" t="s">
        <v>176</v>
      </c>
      <c r="D976">
        <v>2017</v>
      </c>
      <c r="E976">
        <v>31</v>
      </c>
      <c r="F976" s="57">
        <v>55.05</v>
      </c>
      <c r="G976">
        <v>19</v>
      </c>
      <c r="H976" s="58">
        <v>29.6755</v>
      </c>
      <c r="I976" s="57">
        <v>-2.0571999999999999</v>
      </c>
      <c r="J976" s="58" t="s">
        <v>1</v>
      </c>
      <c r="K976">
        <v>4.3</v>
      </c>
      <c r="L976" s="26">
        <v>3.3</v>
      </c>
      <c r="M976" s="58">
        <v>100</v>
      </c>
      <c r="N976" s="59" t="s">
        <v>10</v>
      </c>
      <c r="O976" s="61" t="s">
        <v>843</v>
      </c>
    </row>
    <row r="977" spans="1:15" ht="60" x14ac:dyDescent="0.25">
      <c r="A977">
        <v>9322</v>
      </c>
      <c r="B977">
        <v>17</v>
      </c>
      <c r="C977" s="56" t="s">
        <v>176</v>
      </c>
      <c r="D977">
        <v>2017</v>
      </c>
      <c r="E977">
        <v>35</v>
      </c>
      <c r="F977" s="57">
        <v>32.200000000000003</v>
      </c>
      <c r="G977">
        <v>1</v>
      </c>
      <c r="H977" s="58">
        <v>8.5582999999999991</v>
      </c>
      <c r="I977" s="57">
        <v>-7.7154999999999996</v>
      </c>
      <c r="J977" s="58" t="s">
        <v>1</v>
      </c>
      <c r="K977">
        <v>4.2</v>
      </c>
      <c r="L977" s="26">
        <v>2.6</v>
      </c>
      <c r="M977" s="58">
        <v>131</v>
      </c>
      <c r="N977" s="59" t="s">
        <v>15</v>
      </c>
      <c r="O977" s="61" t="s">
        <v>844</v>
      </c>
    </row>
    <row r="978" spans="1:15" ht="60" x14ac:dyDescent="0.25">
      <c r="A978">
        <v>9323</v>
      </c>
      <c r="B978">
        <v>17</v>
      </c>
      <c r="C978" s="56" t="s">
        <v>176</v>
      </c>
      <c r="D978">
        <v>2017</v>
      </c>
      <c r="E978">
        <v>1</v>
      </c>
      <c r="F978" s="57">
        <v>33.700000000000003</v>
      </c>
      <c r="G978">
        <v>15</v>
      </c>
      <c r="H978" s="58">
        <v>-25.843499999999999</v>
      </c>
      <c r="I978" s="57">
        <v>28.969899999999999</v>
      </c>
      <c r="J978" s="58" t="s">
        <v>1</v>
      </c>
      <c r="K978">
        <v>4.4000000000000004</v>
      </c>
      <c r="L978" s="26">
        <v>3.3</v>
      </c>
      <c r="M978" s="58">
        <v>134</v>
      </c>
      <c r="N978" s="59" t="s">
        <v>6</v>
      </c>
      <c r="O978" s="61" t="s">
        <v>23</v>
      </c>
    </row>
    <row r="979" spans="1:15" ht="45" x14ac:dyDescent="0.25">
      <c r="A979">
        <v>9324</v>
      </c>
      <c r="B979">
        <v>18</v>
      </c>
      <c r="C979" s="56" t="s">
        <v>176</v>
      </c>
      <c r="D979">
        <v>2017</v>
      </c>
      <c r="E979">
        <v>16</v>
      </c>
      <c r="F979" s="57">
        <v>42.63</v>
      </c>
      <c r="G979">
        <v>7</v>
      </c>
      <c r="H979" s="58">
        <v>32.886400000000002</v>
      </c>
      <c r="I979" s="57">
        <v>13.6401</v>
      </c>
      <c r="J979" s="58" t="s">
        <v>1</v>
      </c>
      <c r="K979">
        <v>4.0999999999999996</v>
      </c>
      <c r="L979" s="26"/>
      <c r="M979" s="58">
        <v>72</v>
      </c>
      <c r="N979" s="59" t="s">
        <v>135</v>
      </c>
      <c r="O979" s="61" t="s">
        <v>845</v>
      </c>
    </row>
    <row r="980" spans="1:15" ht="60" x14ac:dyDescent="0.25">
      <c r="A980">
        <v>9325</v>
      </c>
      <c r="B980">
        <v>18</v>
      </c>
      <c r="C980" s="56" t="s">
        <v>176</v>
      </c>
      <c r="D980">
        <v>2017</v>
      </c>
      <c r="E980">
        <v>39</v>
      </c>
      <c r="F980" s="57">
        <v>56.94</v>
      </c>
      <c r="G980">
        <v>8</v>
      </c>
      <c r="H980" s="58">
        <v>-1.1727000000000001</v>
      </c>
      <c r="I980" s="57">
        <v>37.235199999999999</v>
      </c>
      <c r="J980" s="58" t="s">
        <v>1</v>
      </c>
      <c r="L980" s="26"/>
      <c r="M980" s="58">
        <v>20</v>
      </c>
      <c r="N980" s="59" t="s">
        <v>13</v>
      </c>
      <c r="O980" s="61" t="s">
        <v>182</v>
      </c>
    </row>
    <row r="981" spans="1:15" ht="75" x14ac:dyDescent="0.25">
      <c r="A981">
        <v>9326</v>
      </c>
      <c r="B981">
        <v>19</v>
      </c>
      <c r="C981" s="56" t="s">
        <v>176</v>
      </c>
      <c r="D981">
        <v>2017</v>
      </c>
      <c r="E981">
        <v>1</v>
      </c>
      <c r="F981" s="57">
        <v>27.57</v>
      </c>
      <c r="G981">
        <v>12</v>
      </c>
      <c r="H981" s="58">
        <v>33.075000000000003</v>
      </c>
      <c r="I981" s="57">
        <v>20.567599999999999</v>
      </c>
      <c r="J981" s="58" t="s">
        <v>1</v>
      </c>
      <c r="K981">
        <v>3.5</v>
      </c>
      <c r="L981" s="26">
        <v>3.9</v>
      </c>
      <c r="M981" s="58">
        <v>174</v>
      </c>
      <c r="N981" s="59" t="s">
        <v>814</v>
      </c>
      <c r="O981" s="61" t="s">
        <v>815</v>
      </c>
    </row>
    <row r="982" spans="1:15" ht="30" x14ac:dyDescent="0.25">
      <c r="A982">
        <v>9327</v>
      </c>
      <c r="B982">
        <v>20</v>
      </c>
      <c r="C982" s="56" t="s">
        <v>176</v>
      </c>
      <c r="D982">
        <v>2017</v>
      </c>
      <c r="E982">
        <v>5</v>
      </c>
      <c r="F982" s="57">
        <v>2.69</v>
      </c>
      <c r="G982">
        <v>20</v>
      </c>
      <c r="H982" s="58">
        <v>17.619199999999999</v>
      </c>
      <c r="I982" s="57">
        <v>20.0274</v>
      </c>
      <c r="J982" s="58" t="s">
        <v>1</v>
      </c>
      <c r="K982">
        <v>4.3</v>
      </c>
      <c r="L982" s="26"/>
      <c r="M982" s="58">
        <v>86</v>
      </c>
      <c r="N982" s="59" t="s">
        <v>139</v>
      </c>
      <c r="O982" s="61" t="s">
        <v>846</v>
      </c>
    </row>
    <row r="983" spans="1:15" ht="30" x14ac:dyDescent="0.25">
      <c r="A983">
        <v>9328</v>
      </c>
      <c r="B983">
        <v>20</v>
      </c>
      <c r="C983" s="56" t="s">
        <v>176</v>
      </c>
      <c r="D983">
        <v>2017</v>
      </c>
      <c r="E983">
        <v>19</v>
      </c>
      <c r="F983" s="57">
        <v>13.63</v>
      </c>
      <c r="G983">
        <v>21</v>
      </c>
      <c r="H983" s="58">
        <v>29.505700000000001</v>
      </c>
      <c r="I983" s="57">
        <v>18.9893</v>
      </c>
      <c r="J983" s="58" t="s">
        <v>1</v>
      </c>
      <c r="K983">
        <v>4</v>
      </c>
      <c r="L983" s="26"/>
      <c r="M983" s="58">
        <v>101</v>
      </c>
      <c r="N983" s="59" t="s">
        <v>48</v>
      </c>
      <c r="O983" s="61" t="s">
        <v>837</v>
      </c>
    </row>
    <row r="984" spans="1:15" ht="30" x14ac:dyDescent="0.25">
      <c r="A984">
        <v>9329</v>
      </c>
      <c r="B984">
        <v>22</v>
      </c>
      <c r="C984" s="56" t="s">
        <v>176</v>
      </c>
      <c r="D984">
        <v>2017</v>
      </c>
      <c r="E984">
        <v>15</v>
      </c>
      <c r="F984" s="57">
        <v>13.28</v>
      </c>
      <c r="G984">
        <v>14</v>
      </c>
      <c r="H984" s="58">
        <v>34.750300000000003</v>
      </c>
      <c r="I984" s="57">
        <v>10.498100000000001</v>
      </c>
      <c r="J984" s="58" t="s">
        <v>1</v>
      </c>
      <c r="K984">
        <v>4.0999999999999996</v>
      </c>
      <c r="L984" s="26"/>
      <c r="M984" s="58">
        <v>26</v>
      </c>
      <c r="N984" s="59" t="s">
        <v>2</v>
      </c>
      <c r="O984" s="61" t="s">
        <v>536</v>
      </c>
    </row>
    <row r="985" spans="1:15" ht="60" x14ac:dyDescent="0.25">
      <c r="A985">
        <v>9330</v>
      </c>
      <c r="B985">
        <v>23</v>
      </c>
      <c r="C985" s="56" t="s">
        <v>176</v>
      </c>
      <c r="D985">
        <v>2017</v>
      </c>
      <c r="E985">
        <v>13</v>
      </c>
      <c r="F985" s="57">
        <v>47.44</v>
      </c>
      <c r="G985">
        <v>16</v>
      </c>
      <c r="H985" s="58">
        <v>-27.1294</v>
      </c>
      <c r="I985" s="57">
        <v>27.310300000000002</v>
      </c>
      <c r="J985" s="58" t="s">
        <v>1</v>
      </c>
      <c r="K985">
        <v>4.3</v>
      </c>
      <c r="L985" s="26">
        <v>2.2000000000000002</v>
      </c>
      <c r="M985" s="58">
        <v>128</v>
      </c>
      <c r="N985" s="59" t="s">
        <v>6</v>
      </c>
      <c r="O985" s="61" t="s">
        <v>821</v>
      </c>
    </row>
    <row r="986" spans="1:15" ht="45" x14ac:dyDescent="0.25">
      <c r="A986">
        <v>9331</v>
      </c>
      <c r="B986">
        <v>24</v>
      </c>
      <c r="C986" s="56" t="s">
        <v>176</v>
      </c>
      <c r="D986">
        <v>2017</v>
      </c>
      <c r="E986">
        <v>53</v>
      </c>
      <c r="F986" s="57">
        <v>48.74</v>
      </c>
      <c r="G986">
        <v>13</v>
      </c>
      <c r="H986" s="58">
        <v>13.45</v>
      </c>
      <c r="I986" s="57">
        <v>1.1395999999999999</v>
      </c>
      <c r="J986" s="58" t="s">
        <v>1</v>
      </c>
      <c r="K986">
        <v>2.6</v>
      </c>
      <c r="L986" s="26"/>
      <c r="M986" s="58" t="s">
        <v>1</v>
      </c>
      <c r="N986" s="59" t="s">
        <v>15</v>
      </c>
      <c r="O986" s="61" t="s">
        <v>144</v>
      </c>
    </row>
    <row r="987" spans="1:15" ht="60" x14ac:dyDescent="0.25">
      <c r="A987">
        <v>9332</v>
      </c>
      <c r="B987">
        <v>24</v>
      </c>
      <c r="C987" s="56" t="s">
        <v>176</v>
      </c>
      <c r="D987">
        <v>2017</v>
      </c>
      <c r="E987">
        <v>21</v>
      </c>
      <c r="F987" s="57">
        <v>25.89</v>
      </c>
      <c r="G987">
        <v>14</v>
      </c>
      <c r="H987" s="58">
        <v>-1.2884</v>
      </c>
      <c r="I987" s="57">
        <v>38.9878</v>
      </c>
      <c r="J987" s="58" t="s">
        <v>1</v>
      </c>
      <c r="K987">
        <v>4</v>
      </c>
      <c r="L987" s="26"/>
      <c r="M987" s="58">
        <v>177</v>
      </c>
      <c r="N987" s="59" t="s">
        <v>13</v>
      </c>
      <c r="O987" s="61" t="s">
        <v>220</v>
      </c>
    </row>
    <row r="988" spans="1:15" ht="30" x14ac:dyDescent="0.25">
      <c r="A988">
        <v>9333</v>
      </c>
      <c r="B988">
        <v>24</v>
      </c>
      <c r="C988" s="56" t="s">
        <v>176</v>
      </c>
      <c r="D988">
        <v>2017</v>
      </c>
      <c r="E988">
        <v>5</v>
      </c>
      <c r="F988" s="57">
        <v>4.7300000000000004</v>
      </c>
      <c r="G988">
        <v>19</v>
      </c>
      <c r="H988" s="58">
        <v>7.5713999999999997</v>
      </c>
      <c r="I988" s="57">
        <v>43.771700000000003</v>
      </c>
      <c r="J988" s="58" t="s">
        <v>1</v>
      </c>
      <c r="K988">
        <v>4.4000000000000004</v>
      </c>
      <c r="L988" s="26">
        <v>3.6</v>
      </c>
      <c r="M988" s="58">
        <v>121</v>
      </c>
      <c r="N988" s="59" t="s">
        <v>847</v>
      </c>
      <c r="O988" s="61" t="s">
        <v>848</v>
      </c>
    </row>
    <row r="989" spans="1:15" ht="45" x14ac:dyDescent="0.25">
      <c r="A989">
        <v>9334</v>
      </c>
      <c r="B989">
        <v>25</v>
      </c>
      <c r="C989" s="56" t="s">
        <v>176</v>
      </c>
      <c r="D989">
        <v>2017</v>
      </c>
      <c r="E989">
        <v>0</v>
      </c>
      <c r="F989" s="57">
        <v>7.88</v>
      </c>
      <c r="G989">
        <v>3</v>
      </c>
      <c r="H989" s="58">
        <v>12.402100000000001</v>
      </c>
      <c r="I989" s="57">
        <v>2.1749999999999998</v>
      </c>
      <c r="J989" s="58" t="s">
        <v>1</v>
      </c>
      <c r="K989">
        <v>4.2</v>
      </c>
      <c r="L989" s="26"/>
      <c r="M989" s="58">
        <v>59</v>
      </c>
      <c r="N989" s="59" t="s">
        <v>15</v>
      </c>
      <c r="O989" s="61" t="s">
        <v>50</v>
      </c>
    </row>
    <row r="990" spans="1:15" ht="45" x14ac:dyDescent="0.25">
      <c r="A990">
        <v>9335</v>
      </c>
      <c r="B990">
        <v>25</v>
      </c>
      <c r="C990" s="56" t="s">
        <v>176</v>
      </c>
      <c r="D990">
        <v>2017</v>
      </c>
      <c r="E990">
        <v>20</v>
      </c>
      <c r="F990" s="57">
        <v>38.71</v>
      </c>
      <c r="G990">
        <v>5</v>
      </c>
      <c r="H990" s="58">
        <v>12.2759</v>
      </c>
      <c r="I990" s="57">
        <v>41.816400000000002</v>
      </c>
      <c r="J990" s="58">
        <v>75</v>
      </c>
      <c r="K990">
        <v>3.6</v>
      </c>
      <c r="L990" s="26">
        <v>3</v>
      </c>
      <c r="M990" s="58">
        <v>5</v>
      </c>
      <c r="N990" s="59" t="s">
        <v>847</v>
      </c>
      <c r="O990" s="61" t="s">
        <v>849</v>
      </c>
    </row>
    <row r="991" spans="1:15" ht="60" x14ac:dyDescent="0.25">
      <c r="A991">
        <v>9336</v>
      </c>
      <c r="B991">
        <v>26</v>
      </c>
      <c r="C991" s="56" t="s">
        <v>176</v>
      </c>
      <c r="D991">
        <v>2017</v>
      </c>
      <c r="E991">
        <v>49</v>
      </c>
      <c r="F991" s="57">
        <v>54.12</v>
      </c>
      <c r="G991">
        <v>0</v>
      </c>
      <c r="H991" s="58">
        <v>-0.81989999999999996</v>
      </c>
      <c r="I991" s="57">
        <v>39.0276</v>
      </c>
      <c r="J991" s="58" t="s">
        <v>1</v>
      </c>
      <c r="K991">
        <v>4</v>
      </c>
      <c r="L991" s="26"/>
      <c r="M991" s="58">
        <v>175</v>
      </c>
      <c r="N991" s="59" t="s">
        <v>13</v>
      </c>
      <c r="O991" s="61" t="s">
        <v>220</v>
      </c>
    </row>
    <row r="992" spans="1:15" ht="45" x14ac:dyDescent="0.25">
      <c r="A992">
        <v>9337</v>
      </c>
      <c r="B992">
        <v>26</v>
      </c>
      <c r="C992" s="56" t="s">
        <v>176</v>
      </c>
      <c r="D992">
        <v>2017</v>
      </c>
      <c r="E992">
        <v>13</v>
      </c>
      <c r="F992" s="57">
        <v>20.34</v>
      </c>
      <c r="G992">
        <v>1</v>
      </c>
      <c r="H992" s="58">
        <v>12.917999999999999</v>
      </c>
      <c r="I992" s="57">
        <v>40.487099999999998</v>
      </c>
      <c r="J992" s="58" t="s">
        <v>1</v>
      </c>
      <c r="K992">
        <v>4.2</v>
      </c>
      <c r="L992" s="26"/>
      <c r="M992" s="58">
        <v>99</v>
      </c>
      <c r="N992" s="59" t="s">
        <v>847</v>
      </c>
      <c r="O992" s="61" t="s">
        <v>850</v>
      </c>
    </row>
    <row r="993" spans="1:15" ht="60" x14ac:dyDescent="0.25">
      <c r="A993">
        <v>9338</v>
      </c>
      <c r="B993">
        <v>26</v>
      </c>
      <c r="C993" s="56" t="s">
        <v>176</v>
      </c>
      <c r="D993">
        <v>2017</v>
      </c>
      <c r="E993">
        <v>27</v>
      </c>
      <c r="F993" s="57">
        <v>43.99</v>
      </c>
      <c r="G993">
        <v>11</v>
      </c>
      <c r="H993" s="58">
        <v>-29.5059</v>
      </c>
      <c r="I993" s="57">
        <v>26.6249</v>
      </c>
      <c r="J993" s="58" t="s">
        <v>1</v>
      </c>
      <c r="K993">
        <v>4.0999999999999996</v>
      </c>
      <c r="L993" s="26"/>
      <c r="M993" s="58">
        <v>39</v>
      </c>
      <c r="N993" s="59" t="s">
        <v>6</v>
      </c>
      <c r="O993" s="61" t="s">
        <v>393</v>
      </c>
    </row>
    <row r="994" spans="1:15" ht="45" x14ac:dyDescent="0.25">
      <c r="A994">
        <v>9339</v>
      </c>
      <c r="B994">
        <v>26</v>
      </c>
      <c r="C994" s="56" t="s">
        <v>176</v>
      </c>
      <c r="D994">
        <v>2017</v>
      </c>
      <c r="E994">
        <v>47</v>
      </c>
      <c r="F994" s="57">
        <v>11.45</v>
      </c>
      <c r="G994">
        <v>20</v>
      </c>
      <c r="H994" s="58">
        <v>5.8299999999999998E-2</v>
      </c>
      <c r="I994" s="57">
        <v>37.950299999999999</v>
      </c>
      <c r="J994" s="58" t="s">
        <v>1</v>
      </c>
      <c r="K994">
        <v>4.4000000000000004</v>
      </c>
      <c r="L994" s="26"/>
      <c r="M994" s="58">
        <v>115</v>
      </c>
      <c r="N994" s="59" t="s">
        <v>13</v>
      </c>
      <c r="O994" s="61" t="s">
        <v>226</v>
      </c>
    </row>
    <row r="995" spans="1:15" ht="60" x14ac:dyDescent="0.25">
      <c r="A995">
        <v>9340</v>
      </c>
      <c r="B995">
        <v>26</v>
      </c>
      <c r="C995" s="56" t="s">
        <v>176</v>
      </c>
      <c r="D995">
        <v>2017</v>
      </c>
      <c r="E995">
        <v>16</v>
      </c>
      <c r="F995" s="57">
        <v>8.93</v>
      </c>
      <c r="G995">
        <v>23</v>
      </c>
      <c r="H995" s="58">
        <v>-27.306100000000001</v>
      </c>
      <c r="I995" s="57">
        <v>25.8873</v>
      </c>
      <c r="J995" s="58" t="s">
        <v>1</v>
      </c>
      <c r="K995">
        <v>4.4000000000000004</v>
      </c>
      <c r="L995" s="26"/>
      <c r="M995" s="58">
        <v>125</v>
      </c>
      <c r="N995" s="59" t="s">
        <v>6</v>
      </c>
      <c r="O995" s="61" t="s">
        <v>442</v>
      </c>
    </row>
    <row r="996" spans="1:15" ht="45" x14ac:dyDescent="0.25">
      <c r="A996">
        <v>9341</v>
      </c>
      <c r="B996">
        <v>27</v>
      </c>
      <c r="C996" s="56" t="s">
        <v>176</v>
      </c>
      <c r="D996">
        <v>2017</v>
      </c>
      <c r="E996">
        <v>38</v>
      </c>
      <c r="F996" s="57">
        <v>43.08</v>
      </c>
      <c r="G996">
        <v>4</v>
      </c>
      <c r="H996" s="58">
        <v>16.6614</v>
      </c>
      <c r="I996" s="57">
        <v>-15.3352</v>
      </c>
      <c r="J996" s="58" t="s">
        <v>1</v>
      </c>
      <c r="K996">
        <v>4</v>
      </c>
      <c r="L996" s="26"/>
      <c r="M996" s="58">
        <v>129</v>
      </c>
      <c r="N996" s="59" t="s">
        <v>15</v>
      </c>
      <c r="O996" s="61" t="s">
        <v>851</v>
      </c>
    </row>
    <row r="997" spans="1:15" ht="45" x14ac:dyDescent="0.25">
      <c r="A997">
        <v>9342</v>
      </c>
      <c r="B997">
        <v>27</v>
      </c>
      <c r="C997" s="56" t="s">
        <v>176</v>
      </c>
      <c r="D997">
        <v>2017</v>
      </c>
      <c r="E997">
        <v>49</v>
      </c>
      <c r="F997" s="57">
        <v>42.83</v>
      </c>
      <c r="G997">
        <v>20</v>
      </c>
      <c r="H997" s="58">
        <v>36.3874</v>
      </c>
      <c r="I997" s="57">
        <v>7.8581000000000003</v>
      </c>
      <c r="J997" s="58" t="s">
        <v>1</v>
      </c>
      <c r="K997">
        <v>4.3</v>
      </c>
      <c r="L997" s="26"/>
      <c r="M997" s="58">
        <v>16</v>
      </c>
      <c r="N997" s="59" t="s">
        <v>10</v>
      </c>
      <c r="O997" s="61" t="s">
        <v>770</v>
      </c>
    </row>
    <row r="998" spans="1:15" ht="60" x14ac:dyDescent="0.25">
      <c r="A998">
        <v>9343</v>
      </c>
      <c r="B998">
        <v>28</v>
      </c>
      <c r="C998" s="56" t="s">
        <v>176</v>
      </c>
      <c r="D998">
        <v>2017</v>
      </c>
      <c r="E998">
        <v>51</v>
      </c>
      <c r="F998" s="57">
        <v>6.51</v>
      </c>
      <c r="G998">
        <v>4</v>
      </c>
      <c r="H998" s="58">
        <v>-21.495000000000001</v>
      </c>
      <c r="I998" s="57">
        <v>33.257300000000001</v>
      </c>
      <c r="J998" s="58" t="s">
        <v>1</v>
      </c>
      <c r="K998">
        <v>4</v>
      </c>
      <c r="L998" s="26">
        <v>4.4000000000000004</v>
      </c>
      <c r="M998" s="58">
        <v>105</v>
      </c>
      <c r="N998" s="59" t="s">
        <v>26</v>
      </c>
      <c r="O998" s="61" t="s">
        <v>852</v>
      </c>
    </row>
    <row r="999" spans="1:15" ht="60" x14ac:dyDescent="0.25">
      <c r="A999">
        <v>9344</v>
      </c>
      <c r="B999">
        <v>28</v>
      </c>
      <c r="C999" s="56" t="s">
        <v>176</v>
      </c>
      <c r="D999">
        <v>2017</v>
      </c>
      <c r="E999">
        <v>1</v>
      </c>
      <c r="F999" s="57">
        <v>4.5199999999999996</v>
      </c>
      <c r="G999">
        <v>5</v>
      </c>
      <c r="H999" s="58">
        <v>0.1411</v>
      </c>
      <c r="I999" s="57">
        <v>34.639099999999999</v>
      </c>
      <c r="J999" s="58" t="s">
        <v>1</v>
      </c>
      <c r="K999">
        <v>3.8</v>
      </c>
      <c r="L999" s="26"/>
      <c r="M999" s="58">
        <v>28</v>
      </c>
      <c r="N999" s="59" t="s">
        <v>54</v>
      </c>
      <c r="O999" s="61" t="s">
        <v>853</v>
      </c>
    </row>
    <row r="1000" spans="1:15" ht="45" x14ac:dyDescent="0.25">
      <c r="A1000">
        <v>9345</v>
      </c>
      <c r="B1000">
        <v>28</v>
      </c>
      <c r="C1000" s="56" t="s">
        <v>176</v>
      </c>
      <c r="D1000">
        <v>2017</v>
      </c>
      <c r="E1000">
        <v>37</v>
      </c>
      <c r="F1000" s="57">
        <v>49.69</v>
      </c>
      <c r="G1000">
        <v>10</v>
      </c>
      <c r="H1000" s="58">
        <v>-28.6892</v>
      </c>
      <c r="I1000" s="57">
        <v>19.572900000000001</v>
      </c>
      <c r="J1000" s="58" t="s">
        <v>1</v>
      </c>
      <c r="K1000">
        <v>3.8</v>
      </c>
      <c r="L1000" s="26">
        <v>3</v>
      </c>
      <c r="M1000" s="58">
        <v>177</v>
      </c>
      <c r="N1000" s="59" t="s">
        <v>854</v>
      </c>
      <c r="O1000" s="61" t="s">
        <v>855</v>
      </c>
    </row>
    <row r="1001" spans="1:15" ht="60" x14ac:dyDescent="0.25">
      <c r="A1001">
        <v>9346</v>
      </c>
      <c r="B1001">
        <v>28</v>
      </c>
      <c r="C1001" s="56" t="s">
        <v>176</v>
      </c>
      <c r="D1001">
        <v>2017</v>
      </c>
      <c r="E1001">
        <v>19</v>
      </c>
      <c r="F1001" s="57">
        <v>30.66</v>
      </c>
      <c r="G1001">
        <v>14</v>
      </c>
      <c r="H1001" s="58">
        <v>-25.8355</v>
      </c>
      <c r="I1001" s="57">
        <v>28.705300000000001</v>
      </c>
      <c r="J1001" s="58" t="s">
        <v>1</v>
      </c>
      <c r="K1001">
        <v>4.5</v>
      </c>
      <c r="L1001" s="26">
        <v>2.9</v>
      </c>
      <c r="M1001" s="58">
        <v>140</v>
      </c>
      <c r="N1001" s="59" t="s">
        <v>6</v>
      </c>
      <c r="O1001" s="61" t="s">
        <v>856</v>
      </c>
    </row>
    <row r="1002" spans="1:15" ht="60" x14ac:dyDescent="0.25">
      <c r="A1002">
        <v>9347</v>
      </c>
      <c r="B1002">
        <v>30</v>
      </c>
      <c r="C1002" s="56" t="s">
        <v>176</v>
      </c>
      <c r="D1002">
        <v>2017</v>
      </c>
      <c r="E1002">
        <v>54</v>
      </c>
      <c r="F1002" s="57">
        <v>22.52</v>
      </c>
      <c r="G1002">
        <v>10</v>
      </c>
      <c r="H1002" s="58">
        <v>-26.366700000000002</v>
      </c>
      <c r="I1002" s="57">
        <v>27.096699999999998</v>
      </c>
      <c r="J1002" s="58" t="s">
        <v>1</v>
      </c>
      <c r="K1002">
        <v>4.2</v>
      </c>
      <c r="L1002" s="26">
        <v>2</v>
      </c>
      <c r="M1002" s="58">
        <v>117</v>
      </c>
      <c r="N1002" s="59" t="s">
        <v>6</v>
      </c>
      <c r="O1002" s="61" t="s">
        <v>857</v>
      </c>
    </row>
    <row r="1003" spans="1:15" x14ac:dyDescent="0.25">
      <c r="A1003">
        <v>9348</v>
      </c>
      <c r="B1003">
        <v>1</v>
      </c>
      <c r="C1003" s="56" t="s">
        <v>240</v>
      </c>
      <c r="D1003">
        <v>2017</v>
      </c>
      <c r="E1003">
        <v>1</v>
      </c>
      <c r="F1003" s="57">
        <v>22.8</v>
      </c>
      <c r="G1003">
        <v>23</v>
      </c>
      <c r="H1003" s="58">
        <v>-1.0893999999999999</v>
      </c>
      <c r="I1003" s="57">
        <v>37.3919</v>
      </c>
      <c r="J1003" s="58" t="s">
        <v>1</v>
      </c>
      <c r="K1003">
        <v>4.0999999999999996</v>
      </c>
      <c r="L1003" s="26"/>
      <c r="M1003" s="58">
        <v>75</v>
      </c>
      <c r="N1003" s="59" t="s">
        <v>13</v>
      </c>
      <c r="O1003" s="62" t="s">
        <v>858</v>
      </c>
    </row>
    <row r="1004" spans="1:15" ht="45" x14ac:dyDescent="0.25">
      <c r="A1004">
        <v>9349</v>
      </c>
      <c r="B1004">
        <v>2</v>
      </c>
      <c r="C1004" s="56" t="s">
        <v>240</v>
      </c>
      <c r="D1004">
        <v>2017</v>
      </c>
      <c r="E1004">
        <v>52</v>
      </c>
      <c r="F1004" s="57">
        <v>19.38</v>
      </c>
      <c r="G1004">
        <v>8</v>
      </c>
      <c r="H1004" s="58">
        <v>2.5169000000000001</v>
      </c>
      <c r="I1004" s="57">
        <v>41.464199999999998</v>
      </c>
      <c r="J1004" s="58" t="s">
        <v>1</v>
      </c>
      <c r="L1004" s="26">
        <v>3.6</v>
      </c>
      <c r="M1004" s="58">
        <v>133</v>
      </c>
      <c r="N1004" s="59" t="s">
        <v>385</v>
      </c>
      <c r="O1004" s="62" t="s">
        <v>859</v>
      </c>
    </row>
    <row r="1005" spans="1:15" ht="105" x14ac:dyDescent="0.25">
      <c r="A1005">
        <v>9350</v>
      </c>
      <c r="B1005">
        <v>4</v>
      </c>
      <c r="C1005" s="56" t="s">
        <v>240</v>
      </c>
      <c r="D1005">
        <v>2017</v>
      </c>
      <c r="E1005">
        <v>57</v>
      </c>
      <c r="F1005" s="57">
        <v>35.99</v>
      </c>
      <c r="G1005">
        <v>8</v>
      </c>
      <c r="H1005" s="58">
        <v>-10.407400000000001</v>
      </c>
      <c r="I1005" s="57">
        <v>34.571100000000001</v>
      </c>
      <c r="J1005" s="58" t="s">
        <v>1</v>
      </c>
      <c r="K1005">
        <v>3.8</v>
      </c>
      <c r="L1005" s="26"/>
      <c r="M1005" s="58">
        <v>109</v>
      </c>
      <c r="N1005" s="59" t="s">
        <v>96</v>
      </c>
      <c r="O1005" s="63" t="s">
        <v>860</v>
      </c>
    </row>
    <row r="1006" spans="1:15" ht="45" x14ac:dyDescent="0.25">
      <c r="A1006">
        <v>9351</v>
      </c>
      <c r="B1006">
        <v>4</v>
      </c>
      <c r="C1006" s="56" t="s">
        <v>240</v>
      </c>
      <c r="D1006">
        <v>2017</v>
      </c>
      <c r="E1006">
        <v>1</v>
      </c>
      <c r="F1006" s="57">
        <v>3.64</v>
      </c>
      <c r="G1006">
        <v>20</v>
      </c>
      <c r="H1006" s="58">
        <v>20.584700000000002</v>
      </c>
      <c r="I1006" s="57">
        <v>-9.0336999999999996</v>
      </c>
      <c r="J1006" s="58" t="s">
        <v>784</v>
      </c>
      <c r="K1006">
        <v>4.2</v>
      </c>
      <c r="L1006" s="26"/>
      <c r="M1006" s="58">
        <v>117</v>
      </c>
      <c r="N1006" s="59" t="s">
        <v>15</v>
      </c>
      <c r="O1006" s="62" t="s">
        <v>481</v>
      </c>
    </row>
    <row r="1007" spans="1:15" ht="60" x14ac:dyDescent="0.25">
      <c r="A1007">
        <v>9352</v>
      </c>
      <c r="B1007">
        <v>5</v>
      </c>
      <c r="C1007" s="56" t="s">
        <v>240</v>
      </c>
      <c r="D1007">
        <v>2017</v>
      </c>
      <c r="E1007">
        <v>39</v>
      </c>
      <c r="F1007" s="57">
        <v>37.950000000000003</v>
      </c>
      <c r="G1007">
        <v>1</v>
      </c>
      <c r="H1007" s="58">
        <v>-28.1721</v>
      </c>
      <c r="I1007" s="57">
        <v>23.890599999999999</v>
      </c>
      <c r="J1007" s="58" t="s">
        <v>1</v>
      </c>
      <c r="K1007">
        <v>4</v>
      </c>
      <c r="L1007" s="26"/>
      <c r="M1007" s="58">
        <v>20</v>
      </c>
      <c r="N1007" s="59" t="s">
        <v>6</v>
      </c>
      <c r="O1007" s="62" t="s">
        <v>861</v>
      </c>
    </row>
    <row r="1008" spans="1:15" x14ac:dyDescent="0.25">
      <c r="A1008">
        <v>9353</v>
      </c>
      <c r="B1008">
        <v>5</v>
      </c>
      <c r="C1008" s="56" t="s">
        <v>240</v>
      </c>
      <c r="D1008">
        <v>2017</v>
      </c>
      <c r="E1008">
        <v>56</v>
      </c>
      <c r="F1008" s="57">
        <v>41.66</v>
      </c>
      <c r="G1008">
        <v>2</v>
      </c>
      <c r="H1008" s="58">
        <v>10.180400000000001</v>
      </c>
      <c r="I1008" s="57">
        <v>28.5639</v>
      </c>
      <c r="J1008" s="58" t="s">
        <v>1</v>
      </c>
      <c r="K1008">
        <v>4</v>
      </c>
      <c r="L1008" s="26"/>
      <c r="M1008" s="58">
        <v>124</v>
      </c>
      <c r="N1008" s="59" t="s">
        <v>117</v>
      </c>
      <c r="O1008" s="62" t="s">
        <v>862</v>
      </c>
    </row>
    <row r="1009" spans="1:15" ht="45" x14ac:dyDescent="0.25">
      <c r="A1009">
        <v>9354</v>
      </c>
      <c r="B1009">
        <v>5</v>
      </c>
      <c r="C1009" s="56" t="s">
        <v>240</v>
      </c>
      <c r="D1009">
        <v>2017</v>
      </c>
      <c r="E1009">
        <v>38</v>
      </c>
      <c r="F1009" s="57">
        <v>25.33</v>
      </c>
      <c r="G1009">
        <v>10</v>
      </c>
      <c r="H1009" s="58">
        <v>2.5082</v>
      </c>
      <c r="I1009" s="57">
        <v>44.7136</v>
      </c>
      <c r="J1009" s="58" t="s">
        <v>1</v>
      </c>
      <c r="K1009">
        <v>4</v>
      </c>
      <c r="L1009" s="26">
        <v>3.5</v>
      </c>
      <c r="M1009" s="58">
        <v>148</v>
      </c>
      <c r="N1009" s="59" t="s">
        <v>385</v>
      </c>
      <c r="O1009" s="62" t="s">
        <v>863</v>
      </c>
    </row>
    <row r="1010" spans="1:15" x14ac:dyDescent="0.25">
      <c r="A1010">
        <v>9355</v>
      </c>
      <c r="B1010">
        <v>5</v>
      </c>
      <c r="C1010" s="56" t="s">
        <v>240</v>
      </c>
      <c r="D1010">
        <v>2017</v>
      </c>
      <c r="E1010">
        <v>16</v>
      </c>
      <c r="F1010" s="57">
        <v>58.49</v>
      </c>
      <c r="G1010">
        <v>11</v>
      </c>
      <c r="H1010" s="58">
        <v>35.308500000000002</v>
      </c>
      <c r="I1010" s="57">
        <v>9.9467999999999996</v>
      </c>
      <c r="J1010" s="58" t="s">
        <v>1</v>
      </c>
      <c r="K1010">
        <v>4.3</v>
      </c>
      <c r="L1010" s="26"/>
      <c r="M1010" s="58">
        <v>32</v>
      </c>
      <c r="N1010" s="59" t="s">
        <v>2</v>
      </c>
      <c r="O1010" s="62" t="s">
        <v>864</v>
      </c>
    </row>
    <row r="1011" spans="1:15" x14ac:dyDescent="0.25">
      <c r="A1011">
        <v>9356</v>
      </c>
      <c r="B1011">
        <v>6</v>
      </c>
      <c r="C1011" s="56" t="s">
        <v>240</v>
      </c>
      <c r="D1011">
        <v>2017</v>
      </c>
      <c r="E1011">
        <v>26</v>
      </c>
      <c r="F1011" s="57">
        <v>21.33</v>
      </c>
      <c r="G1011">
        <v>10</v>
      </c>
      <c r="H1011" s="58">
        <v>34.766599999999997</v>
      </c>
      <c r="I1011" s="57">
        <v>9.8048999999999999</v>
      </c>
      <c r="J1011" s="58" t="s">
        <v>1</v>
      </c>
      <c r="K1011">
        <v>3.2</v>
      </c>
      <c r="L1011" s="26"/>
      <c r="M1011" s="58">
        <v>81</v>
      </c>
      <c r="N1011" s="59" t="s">
        <v>2</v>
      </c>
      <c r="O1011" s="62" t="s">
        <v>865</v>
      </c>
    </row>
    <row r="1012" spans="1:15" ht="45" x14ac:dyDescent="0.25">
      <c r="A1012">
        <v>9357</v>
      </c>
      <c r="B1012">
        <v>6</v>
      </c>
      <c r="C1012" s="56" t="s">
        <v>240</v>
      </c>
      <c r="D1012">
        <v>2017</v>
      </c>
      <c r="E1012">
        <v>11</v>
      </c>
      <c r="F1012" s="57">
        <v>57.38</v>
      </c>
      <c r="G1012">
        <v>12</v>
      </c>
      <c r="H1012" s="58">
        <v>12.985300000000001</v>
      </c>
      <c r="I1012" s="57">
        <v>0.52190000000000003</v>
      </c>
      <c r="J1012" s="58" t="s">
        <v>1</v>
      </c>
      <c r="K1012">
        <v>4.0999999999999996</v>
      </c>
      <c r="L1012" s="26"/>
      <c r="M1012" s="58">
        <v>5</v>
      </c>
      <c r="N1012" s="59" t="s">
        <v>15</v>
      </c>
      <c r="O1012" s="62" t="s">
        <v>214</v>
      </c>
    </row>
    <row r="1013" spans="1:15" ht="45" x14ac:dyDescent="0.25">
      <c r="A1013">
        <v>9358</v>
      </c>
      <c r="B1013">
        <v>7</v>
      </c>
      <c r="C1013" s="56" t="s">
        <v>240</v>
      </c>
      <c r="D1013">
        <v>2017</v>
      </c>
      <c r="E1013">
        <v>49</v>
      </c>
      <c r="F1013" s="57">
        <v>0.03</v>
      </c>
      <c r="G1013">
        <v>3</v>
      </c>
      <c r="H1013" s="58">
        <v>6.9671000000000003</v>
      </c>
      <c r="I1013" s="57">
        <v>-12.769</v>
      </c>
      <c r="J1013" s="58" t="s">
        <v>1</v>
      </c>
      <c r="K1013">
        <v>4.2</v>
      </c>
      <c r="L1013" s="26">
        <v>3.3</v>
      </c>
      <c r="M1013" s="58">
        <v>133</v>
      </c>
      <c r="N1013" s="59" t="s">
        <v>15</v>
      </c>
      <c r="O1013" s="62" t="s">
        <v>866</v>
      </c>
    </row>
    <row r="1014" spans="1:15" ht="60" x14ac:dyDescent="0.25">
      <c r="A1014">
        <v>9359</v>
      </c>
      <c r="B1014">
        <v>7</v>
      </c>
      <c r="C1014" s="56" t="s">
        <v>240</v>
      </c>
      <c r="D1014">
        <v>2017</v>
      </c>
      <c r="E1014">
        <v>24</v>
      </c>
      <c r="F1014" s="57">
        <v>21.2</v>
      </c>
      <c r="G1014">
        <v>10</v>
      </c>
      <c r="H1014" s="58">
        <v>-28.3873</v>
      </c>
      <c r="I1014" s="57">
        <v>26.186299999999999</v>
      </c>
      <c r="J1014" s="58" t="s">
        <v>1</v>
      </c>
      <c r="K1014">
        <v>4.5</v>
      </c>
      <c r="L1014" s="26"/>
      <c r="M1014" s="58">
        <v>156</v>
      </c>
      <c r="N1014" s="59" t="s">
        <v>6</v>
      </c>
      <c r="O1014" s="62" t="s">
        <v>867</v>
      </c>
    </row>
    <row r="1015" spans="1:15" ht="45" x14ac:dyDescent="0.25">
      <c r="A1015">
        <v>9360</v>
      </c>
      <c r="B1015">
        <v>7</v>
      </c>
      <c r="C1015" s="56" t="s">
        <v>240</v>
      </c>
      <c r="D1015">
        <v>2017</v>
      </c>
      <c r="E1015">
        <v>34</v>
      </c>
      <c r="F1015" s="57">
        <v>52.14</v>
      </c>
      <c r="G1015">
        <v>21</v>
      </c>
      <c r="H1015" s="58">
        <v>12.4047</v>
      </c>
      <c r="I1015" s="57">
        <v>0.53</v>
      </c>
      <c r="J1015" s="58" t="s">
        <v>1</v>
      </c>
      <c r="K1015">
        <v>4.0999999999999996</v>
      </c>
      <c r="L1015" s="26"/>
      <c r="M1015" s="58">
        <v>142</v>
      </c>
      <c r="N1015" s="59" t="s">
        <v>15</v>
      </c>
      <c r="O1015" s="62" t="s">
        <v>109</v>
      </c>
    </row>
    <row r="1016" spans="1:15" ht="45" x14ac:dyDescent="0.25">
      <c r="A1016">
        <v>9361</v>
      </c>
      <c r="B1016">
        <v>8</v>
      </c>
      <c r="C1016" s="56" t="s">
        <v>240</v>
      </c>
      <c r="D1016">
        <v>2017</v>
      </c>
      <c r="E1016">
        <v>8</v>
      </c>
      <c r="F1016" s="57">
        <v>28.39</v>
      </c>
      <c r="G1016">
        <v>6</v>
      </c>
      <c r="H1016" s="58">
        <v>11.122299999999999</v>
      </c>
      <c r="I1016" s="57">
        <v>2.3995000000000002</v>
      </c>
      <c r="J1016" s="58" t="s">
        <v>1</v>
      </c>
      <c r="L1016" s="26">
        <v>0.6</v>
      </c>
      <c r="M1016" s="58">
        <v>71</v>
      </c>
      <c r="N1016" s="59" t="s">
        <v>15</v>
      </c>
      <c r="O1016" s="62" t="s">
        <v>868</v>
      </c>
    </row>
    <row r="1017" spans="1:15" x14ac:dyDescent="0.25">
      <c r="A1017">
        <v>9362</v>
      </c>
      <c r="B1017">
        <v>8</v>
      </c>
      <c r="C1017" s="56" t="s">
        <v>240</v>
      </c>
      <c r="D1017">
        <v>2017</v>
      </c>
      <c r="E1017">
        <v>42</v>
      </c>
      <c r="F1017" s="57">
        <v>41.06</v>
      </c>
      <c r="G1017">
        <v>14</v>
      </c>
      <c r="H1017" s="58">
        <v>-1.6204000000000001</v>
      </c>
      <c r="I1017" s="57">
        <v>36.831099999999999</v>
      </c>
      <c r="J1017" s="58" t="s">
        <v>1</v>
      </c>
      <c r="K1017">
        <v>4.0999999999999996</v>
      </c>
      <c r="L1017" s="26"/>
      <c r="M1017" s="58">
        <v>122</v>
      </c>
      <c r="N1017" s="59" t="s">
        <v>13</v>
      </c>
      <c r="O1017" s="62" t="s">
        <v>869</v>
      </c>
    </row>
    <row r="1018" spans="1:15" x14ac:dyDescent="0.25">
      <c r="A1018">
        <v>9363</v>
      </c>
      <c r="B1018">
        <v>10</v>
      </c>
      <c r="C1018" s="56" t="s">
        <v>240</v>
      </c>
      <c r="D1018">
        <v>2017</v>
      </c>
      <c r="E1018">
        <v>12</v>
      </c>
      <c r="F1018" s="57">
        <v>21.06</v>
      </c>
      <c r="G1018">
        <v>23</v>
      </c>
      <c r="H1018" s="58">
        <v>-1.2273000000000001</v>
      </c>
      <c r="I1018" s="57">
        <v>35.309699999999999</v>
      </c>
      <c r="J1018" s="58" t="s">
        <v>1</v>
      </c>
      <c r="K1018">
        <v>4.0999999999999996</v>
      </c>
      <c r="L1018" s="26"/>
      <c r="M1018" s="58">
        <v>174</v>
      </c>
      <c r="N1018" s="59" t="s">
        <v>13</v>
      </c>
      <c r="O1018" s="62" t="s">
        <v>870</v>
      </c>
    </row>
    <row r="1019" spans="1:15" ht="60" x14ac:dyDescent="0.25">
      <c r="A1019">
        <v>9364</v>
      </c>
      <c r="B1019">
        <v>11</v>
      </c>
      <c r="C1019" s="56" t="s">
        <v>240</v>
      </c>
      <c r="D1019">
        <v>2017</v>
      </c>
      <c r="E1019">
        <v>17</v>
      </c>
      <c r="F1019" s="57">
        <v>52.71</v>
      </c>
      <c r="G1019">
        <v>0</v>
      </c>
      <c r="H1019" s="58">
        <v>-28.419499999999999</v>
      </c>
      <c r="I1019" s="57">
        <v>25.943100000000001</v>
      </c>
      <c r="J1019" s="58" t="s">
        <v>1</v>
      </c>
      <c r="K1019">
        <v>3.4</v>
      </c>
      <c r="L1019" s="26"/>
      <c r="M1019" s="58">
        <v>94</v>
      </c>
      <c r="N1019" s="59" t="s">
        <v>6</v>
      </c>
      <c r="O1019" s="61" t="s">
        <v>867</v>
      </c>
    </row>
    <row r="1020" spans="1:15" x14ac:dyDescent="0.25">
      <c r="A1020">
        <v>9365</v>
      </c>
      <c r="B1020">
        <v>11</v>
      </c>
      <c r="C1020" s="56" t="s">
        <v>240</v>
      </c>
      <c r="D1020">
        <v>2017</v>
      </c>
      <c r="E1020">
        <v>50</v>
      </c>
      <c r="F1020" s="57">
        <v>29.31</v>
      </c>
      <c r="G1020">
        <v>4</v>
      </c>
      <c r="H1020" s="58">
        <v>24.996700000000001</v>
      </c>
      <c r="I1020" s="57">
        <v>23.3931</v>
      </c>
      <c r="J1020" s="58" t="s">
        <v>1</v>
      </c>
      <c r="K1020">
        <v>4.3</v>
      </c>
      <c r="L1020" s="26"/>
      <c r="M1020" s="58">
        <v>75</v>
      </c>
      <c r="N1020" s="59" t="s">
        <v>48</v>
      </c>
      <c r="O1020" s="62" t="s">
        <v>553</v>
      </c>
    </row>
    <row r="1021" spans="1:15" x14ac:dyDescent="0.25">
      <c r="A1021">
        <v>9366</v>
      </c>
      <c r="B1021">
        <v>11</v>
      </c>
      <c r="C1021" s="56" t="s">
        <v>240</v>
      </c>
      <c r="D1021">
        <v>2017</v>
      </c>
      <c r="E1021">
        <v>32</v>
      </c>
      <c r="F1021" s="57">
        <v>41.3</v>
      </c>
      <c r="G1021">
        <v>9</v>
      </c>
      <c r="H1021" s="58">
        <v>-1.8468</v>
      </c>
      <c r="I1021" s="57">
        <v>37.2196</v>
      </c>
      <c r="J1021" s="58" t="s">
        <v>1</v>
      </c>
      <c r="K1021">
        <v>4.0999999999999996</v>
      </c>
      <c r="L1021" s="26"/>
      <c r="M1021" s="58">
        <v>94</v>
      </c>
      <c r="N1021" s="59" t="s">
        <v>13</v>
      </c>
      <c r="O1021" s="62" t="s">
        <v>871</v>
      </c>
    </row>
    <row r="1022" spans="1:15" ht="45" x14ac:dyDescent="0.25">
      <c r="A1022">
        <v>9367</v>
      </c>
      <c r="B1022">
        <v>11</v>
      </c>
      <c r="C1022" s="56" t="s">
        <v>240</v>
      </c>
      <c r="D1022">
        <v>2017</v>
      </c>
      <c r="E1022">
        <v>5</v>
      </c>
      <c r="F1022" s="57">
        <v>4</v>
      </c>
      <c r="G1022">
        <v>16</v>
      </c>
      <c r="H1022" s="58">
        <v>22.954699999999999</v>
      </c>
      <c r="I1022" s="57">
        <v>-12.601100000000001</v>
      </c>
      <c r="J1022" s="58" t="s">
        <v>1</v>
      </c>
      <c r="K1022">
        <v>3.7</v>
      </c>
      <c r="L1022" s="26">
        <v>3.6</v>
      </c>
      <c r="M1022" s="58">
        <v>78</v>
      </c>
      <c r="N1022" s="59" t="s">
        <v>15</v>
      </c>
      <c r="O1022" s="62" t="s">
        <v>172</v>
      </c>
    </row>
    <row r="1023" spans="1:15" ht="45" x14ac:dyDescent="0.25">
      <c r="A1023">
        <v>9368</v>
      </c>
      <c r="B1023">
        <v>12</v>
      </c>
      <c r="C1023" s="56" t="s">
        <v>240</v>
      </c>
      <c r="D1023">
        <v>2017</v>
      </c>
      <c r="E1023">
        <v>5</v>
      </c>
      <c r="F1023" s="57">
        <v>7.0000000000000007E-2</v>
      </c>
      <c r="G1023">
        <v>17</v>
      </c>
      <c r="H1023" s="58">
        <v>33.6</v>
      </c>
      <c r="I1023" s="57">
        <v>3.5255000000000001</v>
      </c>
      <c r="J1023" s="58" t="s">
        <v>1</v>
      </c>
      <c r="K1023">
        <v>3.2</v>
      </c>
      <c r="L1023" s="26">
        <v>3.1</v>
      </c>
      <c r="M1023" s="58">
        <v>90</v>
      </c>
      <c r="N1023" s="59" t="s">
        <v>10</v>
      </c>
      <c r="O1023" s="62" t="s">
        <v>872</v>
      </c>
    </row>
    <row r="1024" spans="1:15" ht="45" x14ac:dyDescent="0.25">
      <c r="A1024">
        <v>9369</v>
      </c>
      <c r="B1024">
        <v>12</v>
      </c>
      <c r="C1024" s="56" t="s">
        <v>240</v>
      </c>
      <c r="D1024">
        <v>2017</v>
      </c>
      <c r="E1024">
        <v>14</v>
      </c>
      <c r="F1024" s="57">
        <v>51.4</v>
      </c>
      <c r="G1024">
        <v>19</v>
      </c>
      <c r="H1024" s="58">
        <v>30.0504</v>
      </c>
      <c r="I1024" s="57">
        <v>7.2474999999999996</v>
      </c>
      <c r="J1024" s="58" t="s">
        <v>1</v>
      </c>
      <c r="K1024">
        <v>4.2</v>
      </c>
      <c r="L1024" s="26">
        <v>2.5</v>
      </c>
      <c r="M1024" s="58">
        <v>112</v>
      </c>
      <c r="N1024" s="59" t="s">
        <v>10</v>
      </c>
      <c r="O1024" s="62" t="s">
        <v>873</v>
      </c>
    </row>
    <row r="1025" spans="1:15" ht="90" x14ac:dyDescent="0.25">
      <c r="A1025">
        <v>9370</v>
      </c>
      <c r="B1025">
        <v>13</v>
      </c>
      <c r="C1025" s="56" t="s">
        <v>240</v>
      </c>
      <c r="D1025">
        <v>2017</v>
      </c>
      <c r="E1025">
        <v>4</v>
      </c>
      <c r="F1025" s="57">
        <v>0.05</v>
      </c>
      <c r="G1025">
        <v>10</v>
      </c>
      <c r="H1025" s="58">
        <v>36.934800000000003</v>
      </c>
      <c r="I1025" s="57">
        <v>2.5341</v>
      </c>
      <c r="J1025" s="58" t="s">
        <v>1</v>
      </c>
      <c r="K1025">
        <v>4.2</v>
      </c>
      <c r="L1025" s="26">
        <v>3.5</v>
      </c>
      <c r="M1025" s="58">
        <v>9</v>
      </c>
      <c r="N1025" s="59" t="s">
        <v>10</v>
      </c>
      <c r="O1025" s="63" t="s">
        <v>874</v>
      </c>
    </row>
    <row r="1026" spans="1:15" x14ac:dyDescent="0.25">
      <c r="A1026">
        <v>9371</v>
      </c>
      <c r="B1026">
        <v>13</v>
      </c>
      <c r="C1026" s="56" t="s">
        <v>240</v>
      </c>
      <c r="D1026">
        <v>2017</v>
      </c>
      <c r="E1026">
        <v>37</v>
      </c>
      <c r="F1026" s="57">
        <v>22.81</v>
      </c>
      <c r="G1026">
        <v>10</v>
      </c>
      <c r="H1026" s="58">
        <v>4.0244999999999997</v>
      </c>
      <c r="I1026" s="57">
        <v>42.837499999999999</v>
      </c>
      <c r="J1026" s="58" t="s">
        <v>1</v>
      </c>
      <c r="K1026">
        <v>4.2</v>
      </c>
      <c r="L1026" s="26">
        <v>3.7</v>
      </c>
      <c r="M1026" s="58">
        <v>117</v>
      </c>
      <c r="N1026" s="59" t="s">
        <v>781</v>
      </c>
      <c r="O1026" s="62" t="s">
        <v>875</v>
      </c>
    </row>
    <row r="1027" spans="1:15" ht="90" x14ac:dyDescent="0.25">
      <c r="A1027">
        <v>9372</v>
      </c>
      <c r="B1027">
        <v>13</v>
      </c>
      <c r="C1027" s="56" t="s">
        <v>240</v>
      </c>
      <c r="D1027">
        <v>2017</v>
      </c>
      <c r="E1027">
        <v>46</v>
      </c>
      <c r="F1027" s="57">
        <v>25.7</v>
      </c>
      <c r="G1027">
        <v>15</v>
      </c>
      <c r="H1027" s="58">
        <v>32.364100000000001</v>
      </c>
      <c r="I1027" s="57">
        <v>23.6233</v>
      </c>
      <c r="J1027" s="58" t="s">
        <v>1</v>
      </c>
      <c r="K1027">
        <v>3.9</v>
      </c>
      <c r="L1027" s="26"/>
      <c r="M1027" s="58">
        <v>7</v>
      </c>
      <c r="N1027" s="59" t="s">
        <v>135</v>
      </c>
      <c r="O1027" s="63" t="s">
        <v>876</v>
      </c>
    </row>
    <row r="1028" spans="1:15" ht="60" x14ac:dyDescent="0.25">
      <c r="A1028">
        <v>9373</v>
      </c>
      <c r="B1028">
        <v>15</v>
      </c>
      <c r="C1028" s="56" t="s">
        <v>240</v>
      </c>
      <c r="D1028">
        <v>2017</v>
      </c>
      <c r="E1028">
        <v>50</v>
      </c>
      <c r="F1028" s="57">
        <v>48.14</v>
      </c>
      <c r="G1028">
        <v>12</v>
      </c>
      <c r="H1028" s="58">
        <v>-26.1981</v>
      </c>
      <c r="I1028" s="57">
        <v>27.560500000000001</v>
      </c>
      <c r="J1028" s="58" t="s">
        <v>1</v>
      </c>
      <c r="K1028">
        <v>4.3</v>
      </c>
      <c r="L1028" s="26">
        <v>2.7</v>
      </c>
      <c r="M1028" s="58">
        <v>122</v>
      </c>
      <c r="N1028" s="59" t="s">
        <v>6</v>
      </c>
      <c r="O1028" s="62" t="s">
        <v>877</v>
      </c>
    </row>
    <row r="1029" spans="1:15" ht="60" x14ac:dyDescent="0.25">
      <c r="A1029">
        <v>9374</v>
      </c>
      <c r="B1029">
        <v>15</v>
      </c>
      <c r="C1029" s="56" t="s">
        <v>240</v>
      </c>
      <c r="D1029">
        <v>2017</v>
      </c>
      <c r="E1029">
        <v>31</v>
      </c>
      <c r="F1029" s="57">
        <v>6.37</v>
      </c>
      <c r="G1029">
        <v>13</v>
      </c>
      <c r="H1029" s="58">
        <v>-29.6433</v>
      </c>
      <c r="I1029" s="57">
        <v>26.080400000000001</v>
      </c>
      <c r="J1029" s="58" t="s">
        <v>1</v>
      </c>
      <c r="K1029">
        <v>4</v>
      </c>
      <c r="L1029" s="26"/>
      <c r="M1029" s="58">
        <v>54</v>
      </c>
      <c r="N1029" s="59" t="s">
        <v>6</v>
      </c>
      <c r="O1029" s="62" t="s">
        <v>783</v>
      </c>
    </row>
    <row r="1030" spans="1:15" ht="60" x14ac:dyDescent="0.25">
      <c r="A1030">
        <v>9375</v>
      </c>
      <c r="B1030">
        <v>15</v>
      </c>
      <c r="C1030" s="56" t="s">
        <v>240</v>
      </c>
      <c r="D1030">
        <v>2017</v>
      </c>
      <c r="E1030">
        <v>52</v>
      </c>
      <c r="F1030" s="57">
        <v>12.81</v>
      </c>
      <c r="G1030">
        <v>13</v>
      </c>
      <c r="H1030" s="58">
        <v>-29.7027</v>
      </c>
      <c r="I1030" s="57">
        <v>25.943300000000001</v>
      </c>
      <c r="J1030" s="58" t="s">
        <v>1</v>
      </c>
      <c r="K1030">
        <v>4.0999999999999996</v>
      </c>
      <c r="L1030" s="26"/>
      <c r="M1030" s="58">
        <v>59</v>
      </c>
      <c r="N1030" s="59" t="s">
        <v>6</v>
      </c>
      <c r="O1030" s="62" t="s">
        <v>878</v>
      </c>
    </row>
    <row r="1031" spans="1:15" ht="30" x14ac:dyDescent="0.25">
      <c r="A1031">
        <v>9376</v>
      </c>
      <c r="B1031">
        <v>15</v>
      </c>
      <c r="C1031" s="56" t="s">
        <v>240</v>
      </c>
      <c r="D1031">
        <v>2017</v>
      </c>
      <c r="E1031">
        <v>37</v>
      </c>
      <c r="F1031" s="57">
        <v>58.37</v>
      </c>
      <c r="G1031">
        <v>14</v>
      </c>
      <c r="H1031" s="58">
        <v>-2.5825999999999998</v>
      </c>
      <c r="I1031" s="57">
        <v>36.366999999999997</v>
      </c>
      <c r="J1031" s="58" t="s">
        <v>1</v>
      </c>
      <c r="K1031">
        <v>4.0999999999999996</v>
      </c>
      <c r="L1031" s="26"/>
      <c r="M1031" s="58">
        <v>115</v>
      </c>
      <c r="N1031" s="59" t="s">
        <v>96</v>
      </c>
      <c r="O1031" s="62" t="s">
        <v>879</v>
      </c>
    </row>
    <row r="1032" spans="1:15" ht="75" x14ac:dyDescent="0.25">
      <c r="A1032">
        <v>9377</v>
      </c>
      <c r="B1032">
        <v>15</v>
      </c>
      <c r="C1032" s="56" t="s">
        <v>240</v>
      </c>
      <c r="D1032">
        <v>2017</v>
      </c>
      <c r="E1032">
        <v>45</v>
      </c>
      <c r="F1032" s="57">
        <v>48.73</v>
      </c>
      <c r="G1032">
        <v>17</v>
      </c>
      <c r="H1032" s="58">
        <v>-2.2176999999999998</v>
      </c>
      <c r="I1032" s="57">
        <v>28.7806</v>
      </c>
      <c r="J1032" s="58" t="s">
        <v>1</v>
      </c>
      <c r="K1032">
        <v>4.4000000000000004</v>
      </c>
      <c r="L1032" s="26">
        <v>4.0999999999999996</v>
      </c>
      <c r="M1032" s="58">
        <v>68</v>
      </c>
      <c r="N1032" s="59" t="s">
        <v>880</v>
      </c>
      <c r="O1032" s="62" t="s">
        <v>881</v>
      </c>
    </row>
    <row r="1033" spans="1:15" ht="60" x14ac:dyDescent="0.25">
      <c r="A1033">
        <v>9378</v>
      </c>
      <c r="B1033">
        <v>15</v>
      </c>
      <c r="C1033" s="56" t="s">
        <v>240</v>
      </c>
      <c r="D1033">
        <v>2017</v>
      </c>
      <c r="E1033">
        <v>50</v>
      </c>
      <c r="F1033" s="57">
        <v>48.14</v>
      </c>
      <c r="G1033">
        <v>12</v>
      </c>
      <c r="H1033" s="58">
        <v>-26.1981</v>
      </c>
      <c r="I1033" s="57">
        <v>27.560500000000001</v>
      </c>
      <c r="J1033" s="58" t="s">
        <v>1</v>
      </c>
      <c r="K1033">
        <v>4.3</v>
      </c>
      <c r="L1033" s="26">
        <v>2.7</v>
      </c>
      <c r="M1033" s="58">
        <v>122</v>
      </c>
      <c r="N1033" s="59" t="s">
        <v>6</v>
      </c>
      <c r="O1033" s="61" t="s">
        <v>882</v>
      </c>
    </row>
    <row r="1034" spans="1:15" ht="60" x14ac:dyDescent="0.25">
      <c r="A1034">
        <v>9379</v>
      </c>
      <c r="B1034">
        <v>15</v>
      </c>
      <c r="C1034" s="56" t="s">
        <v>240</v>
      </c>
      <c r="D1034">
        <v>2017</v>
      </c>
      <c r="E1034">
        <v>31</v>
      </c>
      <c r="F1034" s="57">
        <v>6.37</v>
      </c>
      <c r="G1034">
        <v>13</v>
      </c>
      <c r="H1034" s="58">
        <v>-29.6433</v>
      </c>
      <c r="I1034" s="57">
        <v>26.080400000000001</v>
      </c>
      <c r="J1034" s="58" t="s">
        <v>1</v>
      </c>
      <c r="K1034">
        <v>4</v>
      </c>
      <c r="L1034" s="26"/>
      <c r="M1034" s="58">
        <v>54</v>
      </c>
      <c r="N1034" s="59" t="s">
        <v>6</v>
      </c>
      <c r="O1034" s="61" t="s">
        <v>113</v>
      </c>
    </row>
    <row r="1035" spans="1:15" ht="60" x14ac:dyDescent="0.25">
      <c r="A1035">
        <v>9380</v>
      </c>
      <c r="B1035">
        <v>15</v>
      </c>
      <c r="C1035" s="56" t="s">
        <v>240</v>
      </c>
      <c r="D1035">
        <v>2017</v>
      </c>
      <c r="E1035">
        <v>52</v>
      </c>
      <c r="F1035" s="57">
        <v>12.81</v>
      </c>
      <c r="G1035">
        <v>13</v>
      </c>
      <c r="H1035" s="58">
        <v>-29.7027</v>
      </c>
      <c r="I1035" s="57">
        <v>25.943300000000001</v>
      </c>
      <c r="J1035" s="58" t="s">
        <v>1</v>
      </c>
      <c r="K1035">
        <v>4.0999999999999996</v>
      </c>
      <c r="L1035" s="26"/>
      <c r="M1035" s="58">
        <v>59</v>
      </c>
      <c r="N1035" s="59" t="s">
        <v>6</v>
      </c>
      <c r="O1035" s="61" t="s">
        <v>883</v>
      </c>
    </row>
    <row r="1036" spans="1:15" ht="30" x14ac:dyDescent="0.25">
      <c r="A1036">
        <v>9381</v>
      </c>
      <c r="B1036">
        <v>15</v>
      </c>
      <c r="C1036" s="56" t="s">
        <v>240</v>
      </c>
      <c r="D1036">
        <v>2017</v>
      </c>
      <c r="E1036">
        <v>37</v>
      </c>
      <c r="F1036" s="57">
        <v>58.37</v>
      </c>
      <c r="G1036">
        <v>14</v>
      </c>
      <c r="H1036" s="58">
        <v>-2.5825999999999998</v>
      </c>
      <c r="I1036" s="57">
        <v>36.366999999999997</v>
      </c>
      <c r="J1036" s="58" t="s">
        <v>1</v>
      </c>
      <c r="K1036">
        <v>4.0999999999999996</v>
      </c>
      <c r="L1036" s="26"/>
      <c r="M1036" s="58">
        <v>115</v>
      </c>
      <c r="N1036" s="59" t="s">
        <v>96</v>
      </c>
      <c r="O1036" s="61" t="s">
        <v>710</v>
      </c>
    </row>
    <row r="1037" spans="1:15" ht="75" x14ac:dyDescent="0.25">
      <c r="A1037">
        <v>9382</v>
      </c>
      <c r="B1037">
        <v>15</v>
      </c>
      <c r="C1037" s="56" t="s">
        <v>240</v>
      </c>
      <c r="D1037">
        <v>2017</v>
      </c>
      <c r="E1037">
        <v>45</v>
      </c>
      <c r="F1037" s="57">
        <v>48.75</v>
      </c>
      <c r="G1037">
        <v>17</v>
      </c>
      <c r="H1037" s="58">
        <v>-2.2176999999999998</v>
      </c>
      <c r="I1037" s="57">
        <v>28.7806</v>
      </c>
      <c r="J1037" s="58" t="s">
        <v>1</v>
      </c>
      <c r="K1037">
        <v>4.4000000000000004</v>
      </c>
      <c r="L1037" s="26">
        <v>4.0999999999999996</v>
      </c>
      <c r="M1037" s="58">
        <v>68</v>
      </c>
      <c r="N1037" s="59" t="s">
        <v>880</v>
      </c>
      <c r="O1037" s="61" t="s">
        <v>884</v>
      </c>
    </row>
    <row r="1038" spans="1:15" ht="45" x14ac:dyDescent="0.25">
      <c r="A1038">
        <v>9383</v>
      </c>
      <c r="B1038">
        <v>16</v>
      </c>
      <c r="C1038" s="56" t="s">
        <v>240</v>
      </c>
      <c r="D1038">
        <v>2017</v>
      </c>
      <c r="E1038">
        <v>42</v>
      </c>
      <c r="F1038" s="57">
        <v>34.28</v>
      </c>
      <c r="G1038">
        <v>4</v>
      </c>
      <c r="H1038" s="58">
        <v>-15.3078</v>
      </c>
      <c r="I1038" s="57">
        <v>7.6025999999999998</v>
      </c>
      <c r="J1038" s="58" t="s">
        <v>1</v>
      </c>
      <c r="K1038">
        <v>4.2</v>
      </c>
      <c r="L1038" s="26"/>
      <c r="M1038" s="58">
        <v>160</v>
      </c>
      <c r="N1038" s="59" t="s">
        <v>885</v>
      </c>
      <c r="O1038" s="61" t="s">
        <v>886</v>
      </c>
    </row>
    <row r="1039" spans="1:15" ht="60" x14ac:dyDescent="0.25">
      <c r="A1039">
        <v>9384</v>
      </c>
      <c r="B1039">
        <v>16</v>
      </c>
      <c r="C1039" s="56" t="s">
        <v>240</v>
      </c>
      <c r="D1039">
        <v>2017</v>
      </c>
      <c r="E1039">
        <v>55</v>
      </c>
      <c r="F1039" s="57">
        <v>59.95</v>
      </c>
      <c r="G1039">
        <v>4</v>
      </c>
      <c r="H1039" s="58">
        <v>-26.656500000000001</v>
      </c>
      <c r="I1039" s="57">
        <v>27.538799999999998</v>
      </c>
      <c r="J1039" s="58" t="s">
        <v>1</v>
      </c>
      <c r="K1039">
        <v>4.4000000000000004</v>
      </c>
      <c r="L1039" s="26">
        <v>2.2000000000000002</v>
      </c>
      <c r="M1039" s="58">
        <v>146</v>
      </c>
      <c r="N1039" s="59" t="s">
        <v>6</v>
      </c>
      <c r="O1039" s="61" t="s">
        <v>887</v>
      </c>
    </row>
    <row r="1040" spans="1:15" ht="45" x14ac:dyDescent="0.25">
      <c r="A1040">
        <v>9385</v>
      </c>
      <c r="B1040">
        <v>16</v>
      </c>
      <c r="C1040" s="56" t="s">
        <v>240</v>
      </c>
      <c r="D1040">
        <v>2017</v>
      </c>
      <c r="E1040">
        <v>8</v>
      </c>
      <c r="F1040" s="57">
        <v>33.159999999999997</v>
      </c>
      <c r="G1040">
        <v>9</v>
      </c>
      <c r="H1040" s="58">
        <v>-24.553899999999999</v>
      </c>
      <c r="I1040" s="57">
        <v>19.038900000000002</v>
      </c>
      <c r="J1040" s="58" t="s">
        <v>1</v>
      </c>
      <c r="L1040" s="26">
        <v>3.6</v>
      </c>
      <c r="M1040" s="58">
        <v>44</v>
      </c>
      <c r="N1040" s="59" t="s">
        <v>291</v>
      </c>
      <c r="O1040" s="61" t="s">
        <v>888</v>
      </c>
    </row>
    <row r="1041" spans="1:15" ht="60" x14ac:dyDescent="0.25">
      <c r="A1041">
        <v>9386</v>
      </c>
      <c r="B1041">
        <v>16</v>
      </c>
      <c r="C1041" s="56" t="s">
        <v>240</v>
      </c>
      <c r="D1041">
        <v>2017</v>
      </c>
      <c r="E1041">
        <v>17</v>
      </c>
      <c r="F1041" s="57">
        <v>15.73</v>
      </c>
      <c r="G1041">
        <v>11</v>
      </c>
      <c r="H1041" s="58">
        <v>-30.0792</v>
      </c>
      <c r="I1041" s="57">
        <v>25.9694</v>
      </c>
      <c r="J1041" s="58" t="s">
        <v>1</v>
      </c>
      <c r="K1041">
        <v>4.2</v>
      </c>
      <c r="L1041" s="26"/>
      <c r="M1041" s="58">
        <v>64</v>
      </c>
      <c r="N1041" s="59" t="s">
        <v>6</v>
      </c>
      <c r="O1041" s="61" t="s">
        <v>113</v>
      </c>
    </row>
    <row r="1042" spans="1:15" ht="45" x14ac:dyDescent="0.25">
      <c r="A1042">
        <v>9387</v>
      </c>
      <c r="B1042">
        <v>16</v>
      </c>
      <c r="C1042" s="56" t="s">
        <v>240</v>
      </c>
      <c r="D1042">
        <v>2017</v>
      </c>
      <c r="E1042">
        <v>33</v>
      </c>
      <c r="F1042" s="57">
        <v>22.2</v>
      </c>
      <c r="G1042">
        <v>20</v>
      </c>
      <c r="H1042" s="58">
        <v>-0.95879999999999999</v>
      </c>
      <c r="I1042" s="57">
        <v>36.331200000000003</v>
      </c>
      <c r="J1042" s="58" t="s">
        <v>1</v>
      </c>
      <c r="K1042">
        <v>4</v>
      </c>
      <c r="L1042" s="26"/>
      <c r="M1042" s="58">
        <v>37</v>
      </c>
      <c r="N1042" s="59" t="s">
        <v>13</v>
      </c>
      <c r="O1042" s="61" t="s">
        <v>889</v>
      </c>
    </row>
    <row r="1043" spans="1:15" ht="30" x14ac:dyDescent="0.25">
      <c r="A1043">
        <v>9388</v>
      </c>
      <c r="B1043">
        <v>17</v>
      </c>
      <c r="C1043" s="56" t="s">
        <v>240</v>
      </c>
      <c r="D1043">
        <v>2017</v>
      </c>
      <c r="E1043">
        <v>4</v>
      </c>
      <c r="F1043" s="57">
        <v>49.08</v>
      </c>
      <c r="G1043">
        <v>9</v>
      </c>
      <c r="H1043" s="58">
        <v>-5.4847999999999999</v>
      </c>
      <c r="I1043" s="57">
        <v>35.735900000000001</v>
      </c>
      <c r="J1043" s="58" t="s">
        <v>1</v>
      </c>
      <c r="K1043">
        <v>3.9</v>
      </c>
      <c r="L1043" s="26">
        <v>3.6</v>
      </c>
      <c r="M1043" s="58">
        <v>117</v>
      </c>
      <c r="N1043" s="59" t="s">
        <v>96</v>
      </c>
      <c r="O1043" s="61" t="s">
        <v>131</v>
      </c>
    </row>
    <row r="1044" spans="1:15" ht="45" x14ac:dyDescent="0.25">
      <c r="A1044">
        <v>9389</v>
      </c>
      <c r="B1044">
        <v>17</v>
      </c>
      <c r="C1044" s="56" t="s">
        <v>240</v>
      </c>
      <c r="D1044">
        <v>2017</v>
      </c>
      <c r="E1044">
        <v>51</v>
      </c>
      <c r="F1044" s="57">
        <v>1.38</v>
      </c>
      <c r="G1044">
        <v>11</v>
      </c>
      <c r="H1044" s="58">
        <v>3.0143</v>
      </c>
      <c r="I1044" s="57">
        <v>40.058599999999998</v>
      </c>
      <c r="J1044" s="58" t="s">
        <v>1</v>
      </c>
      <c r="K1044">
        <v>3.7</v>
      </c>
      <c r="L1044" s="26">
        <v>3</v>
      </c>
      <c r="M1044" s="58">
        <v>111</v>
      </c>
      <c r="N1044" s="59" t="s">
        <v>13</v>
      </c>
      <c r="O1044" s="61" t="s">
        <v>414</v>
      </c>
    </row>
    <row r="1045" spans="1:15" ht="45" x14ac:dyDescent="0.25">
      <c r="A1045">
        <v>9390</v>
      </c>
      <c r="B1045">
        <v>17</v>
      </c>
      <c r="C1045" s="56" t="s">
        <v>240</v>
      </c>
      <c r="D1045">
        <v>2017</v>
      </c>
      <c r="E1045">
        <v>10</v>
      </c>
      <c r="F1045" s="57">
        <v>44.1</v>
      </c>
      <c r="G1045">
        <v>12</v>
      </c>
      <c r="H1045" s="58">
        <v>1.5330999999999999</v>
      </c>
      <c r="I1045" s="57">
        <v>40.884599999999999</v>
      </c>
      <c r="J1045" s="58" t="s">
        <v>1</v>
      </c>
      <c r="K1045">
        <v>4.3</v>
      </c>
      <c r="L1045" s="26">
        <v>2.9</v>
      </c>
      <c r="M1045" s="58">
        <v>141</v>
      </c>
      <c r="N1045" s="59" t="s">
        <v>13</v>
      </c>
      <c r="O1045" s="61" t="s">
        <v>414</v>
      </c>
    </row>
    <row r="1046" spans="1:15" ht="45" x14ac:dyDescent="0.25">
      <c r="A1046">
        <v>9391</v>
      </c>
      <c r="B1046">
        <v>17</v>
      </c>
      <c r="C1046" s="56" t="s">
        <v>240</v>
      </c>
      <c r="D1046">
        <v>2017</v>
      </c>
      <c r="E1046">
        <v>50</v>
      </c>
      <c r="F1046" s="57">
        <v>54.29</v>
      </c>
      <c r="G1046">
        <v>19</v>
      </c>
      <c r="H1046" s="58">
        <v>-1.0466</v>
      </c>
      <c r="I1046" s="57">
        <v>36.265099999999997</v>
      </c>
      <c r="J1046" s="58" t="s">
        <v>1</v>
      </c>
      <c r="K1046">
        <v>3.7</v>
      </c>
      <c r="L1046" s="26"/>
      <c r="M1046" s="58">
        <v>11</v>
      </c>
      <c r="N1046" s="59" t="s">
        <v>13</v>
      </c>
      <c r="O1046" s="61" t="s">
        <v>441</v>
      </c>
    </row>
    <row r="1047" spans="1:15" ht="60" x14ac:dyDescent="0.25">
      <c r="A1047">
        <v>9392</v>
      </c>
      <c r="B1047">
        <v>18</v>
      </c>
      <c r="C1047" s="56" t="s">
        <v>240</v>
      </c>
      <c r="D1047">
        <v>2017</v>
      </c>
      <c r="E1047">
        <v>26</v>
      </c>
      <c r="F1047" s="57">
        <v>3.69</v>
      </c>
      <c r="G1047">
        <v>14</v>
      </c>
      <c r="H1047" s="58">
        <v>-1.3385</v>
      </c>
      <c r="I1047" s="57">
        <v>37.101199999999999</v>
      </c>
      <c r="J1047" s="58" t="s">
        <v>1</v>
      </c>
      <c r="K1047">
        <v>3.7</v>
      </c>
      <c r="L1047" s="26"/>
      <c r="M1047" s="58">
        <v>34</v>
      </c>
      <c r="N1047" s="59" t="s">
        <v>13</v>
      </c>
      <c r="O1047" s="61" t="s">
        <v>182</v>
      </c>
    </row>
    <row r="1048" spans="1:15" ht="60" x14ac:dyDescent="0.25">
      <c r="A1048">
        <v>9393</v>
      </c>
      <c r="B1048">
        <v>18</v>
      </c>
      <c r="C1048" s="56" t="s">
        <v>240</v>
      </c>
      <c r="D1048">
        <v>2017</v>
      </c>
      <c r="E1048">
        <v>38</v>
      </c>
      <c r="F1048" s="57">
        <v>59.19</v>
      </c>
      <c r="G1048">
        <v>14</v>
      </c>
      <c r="H1048" s="58">
        <v>-17.9025</v>
      </c>
      <c r="I1048" s="57">
        <v>47.165199999999999</v>
      </c>
      <c r="J1048" s="58" t="s">
        <v>1</v>
      </c>
      <c r="K1048">
        <v>4.0999999999999996</v>
      </c>
      <c r="L1048" s="26"/>
      <c r="M1048" s="58">
        <v>51</v>
      </c>
      <c r="N1048" s="59" t="s">
        <v>177</v>
      </c>
      <c r="O1048" s="61" t="s">
        <v>890</v>
      </c>
    </row>
    <row r="1049" spans="1:15" ht="45" x14ac:dyDescent="0.25">
      <c r="A1049">
        <v>9394</v>
      </c>
      <c r="B1049">
        <v>18</v>
      </c>
      <c r="C1049" s="56" t="s">
        <v>240</v>
      </c>
      <c r="D1049">
        <v>2017</v>
      </c>
      <c r="E1049">
        <v>46</v>
      </c>
      <c r="F1049" s="57">
        <v>0.61</v>
      </c>
      <c r="G1049">
        <v>16</v>
      </c>
      <c r="H1049" s="58">
        <v>32.802999999999997</v>
      </c>
      <c r="I1049" s="57">
        <v>21.273299999999999</v>
      </c>
      <c r="J1049" s="58" t="s">
        <v>1</v>
      </c>
      <c r="K1049">
        <v>4.0999999999999996</v>
      </c>
      <c r="L1049" s="26">
        <v>4.2</v>
      </c>
      <c r="M1049" s="58">
        <v>45</v>
      </c>
      <c r="N1049" s="59" t="s">
        <v>135</v>
      </c>
      <c r="O1049" s="61" t="s">
        <v>891</v>
      </c>
    </row>
    <row r="1050" spans="1:15" ht="60" x14ac:dyDescent="0.25">
      <c r="A1050">
        <v>9395</v>
      </c>
      <c r="B1050">
        <v>18</v>
      </c>
      <c r="C1050" s="56" t="s">
        <v>240</v>
      </c>
      <c r="D1050">
        <v>2017</v>
      </c>
      <c r="E1050">
        <v>28</v>
      </c>
      <c r="F1050" s="57">
        <v>46.98</v>
      </c>
      <c r="G1050">
        <v>22</v>
      </c>
      <c r="H1050" s="58">
        <v>26.260400000000001</v>
      </c>
      <c r="I1050" s="57">
        <v>-17.3934</v>
      </c>
      <c r="J1050" s="58" t="s">
        <v>1</v>
      </c>
      <c r="K1050">
        <v>3.5</v>
      </c>
      <c r="L1050" s="26"/>
      <c r="M1050" s="58">
        <v>77</v>
      </c>
      <c r="N1050" s="59" t="s">
        <v>892</v>
      </c>
      <c r="O1050" s="61" t="s">
        <v>893</v>
      </c>
    </row>
    <row r="1051" spans="1:15" ht="45" x14ac:dyDescent="0.25">
      <c r="A1051">
        <v>9396</v>
      </c>
      <c r="B1051">
        <v>19</v>
      </c>
      <c r="C1051" s="56" t="s">
        <v>240</v>
      </c>
      <c r="D1051">
        <v>2017</v>
      </c>
      <c r="E1051">
        <v>6</v>
      </c>
      <c r="F1051" s="57">
        <v>5.83</v>
      </c>
      <c r="G1051">
        <v>19</v>
      </c>
      <c r="H1051" s="58">
        <v>7.2885</v>
      </c>
      <c r="I1051" s="57">
        <v>45.614600000000003</v>
      </c>
      <c r="J1051" s="58" t="s">
        <v>1</v>
      </c>
      <c r="K1051">
        <v>4.2</v>
      </c>
      <c r="L1051" s="26">
        <v>4</v>
      </c>
      <c r="M1051" s="58">
        <v>174</v>
      </c>
      <c r="N1051" s="59" t="s">
        <v>847</v>
      </c>
      <c r="O1051" s="61" t="s">
        <v>894</v>
      </c>
    </row>
    <row r="1052" spans="1:15" ht="45" x14ac:dyDescent="0.25">
      <c r="A1052">
        <v>9397</v>
      </c>
      <c r="B1052">
        <v>20</v>
      </c>
      <c r="C1052" s="56" t="s">
        <v>240</v>
      </c>
      <c r="D1052">
        <v>2017</v>
      </c>
      <c r="E1052">
        <v>52</v>
      </c>
      <c r="F1052" s="57">
        <v>39.28</v>
      </c>
      <c r="G1052">
        <v>1</v>
      </c>
      <c r="H1052" s="58">
        <v>22.9559</v>
      </c>
      <c r="I1052" s="57">
        <v>11.8645</v>
      </c>
      <c r="J1052" s="58" t="s">
        <v>1</v>
      </c>
      <c r="K1052">
        <v>4.2</v>
      </c>
      <c r="L1052" s="26"/>
      <c r="M1052" s="58">
        <v>66</v>
      </c>
      <c r="N1052" s="59" t="s">
        <v>15</v>
      </c>
      <c r="O1052" s="61" t="s">
        <v>478</v>
      </c>
    </row>
    <row r="1053" spans="1:15" ht="60" x14ac:dyDescent="0.25">
      <c r="A1053">
        <v>9398</v>
      </c>
      <c r="B1053">
        <v>20</v>
      </c>
      <c r="C1053" s="56" t="s">
        <v>240</v>
      </c>
      <c r="D1053">
        <v>2017</v>
      </c>
      <c r="E1053">
        <v>52</v>
      </c>
      <c r="F1053" s="57">
        <v>52.01</v>
      </c>
      <c r="G1053">
        <v>2</v>
      </c>
      <c r="H1053" s="58">
        <v>-9.0244</v>
      </c>
      <c r="I1053" s="57">
        <v>50.873399999999997</v>
      </c>
      <c r="J1053" s="58" t="s">
        <v>1</v>
      </c>
      <c r="K1053">
        <v>4.2</v>
      </c>
      <c r="L1053" s="26"/>
      <c r="M1053" s="58">
        <v>169</v>
      </c>
      <c r="N1053" s="59" t="s">
        <v>241</v>
      </c>
      <c r="O1053" s="61" t="s">
        <v>895</v>
      </c>
    </row>
    <row r="1054" spans="1:15" ht="60" x14ac:dyDescent="0.25">
      <c r="A1054">
        <v>9399</v>
      </c>
      <c r="B1054">
        <v>20</v>
      </c>
      <c r="C1054" s="56" t="s">
        <v>240</v>
      </c>
      <c r="D1054">
        <v>2017</v>
      </c>
      <c r="E1054">
        <v>18</v>
      </c>
      <c r="F1054" s="57">
        <v>12.21</v>
      </c>
      <c r="G1054">
        <v>13</v>
      </c>
      <c r="H1054" s="58">
        <v>-28.736699999999999</v>
      </c>
      <c r="I1054" s="57">
        <v>25.190999999999999</v>
      </c>
      <c r="J1054" s="58" t="s">
        <v>1</v>
      </c>
      <c r="K1054">
        <v>4.5999999999999996</v>
      </c>
      <c r="L1054" s="26"/>
      <c r="M1054" s="58">
        <v>24</v>
      </c>
      <c r="N1054" s="59" t="s">
        <v>6</v>
      </c>
      <c r="O1054" s="61" t="s">
        <v>68</v>
      </c>
    </row>
    <row r="1055" spans="1:15" ht="30" x14ac:dyDescent="0.25">
      <c r="A1055">
        <v>9400</v>
      </c>
      <c r="B1055">
        <v>20</v>
      </c>
      <c r="C1055" s="56" t="s">
        <v>240</v>
      </c>
      <c r="D1055">
        <v>2017</v>
      </c>
      <c r="E1055">
        <v>33</v>
      </c>
      <c r="F1055" s="57">
        <v>56.72</v>
      </c>
      <c r="G1055">
        <v>16</v>
      </c>
      <c r="H1055" s="58">
        <v>13.114100000000001</v>
      </c>
      <c r="I1055" s="57">
        <v>30.691700000000001</v>
      </c>
      <c r="J1055" s="58" t="s">
        <v>1</v>
      </c>
      <c r="K1055">
        <v>3.7</v>
      </c>
      <c r="L1055" s="26">
        <v>2.9</v>
      </c>
      <c r="M1055" s="58">
        <v>71</v>
      </c>
      <c r="N1055" s="59" t="s">
        <v>117</v>
      </c>
      <c r="O1055" s="61" t="s">
        <v>896</v>
      </c>
    </row>
    <row r="1056" spans="1:15" ht="90" x14ac:dyDescent="0.25">
      <c r="A1056">
        <v>9401</v>
      </c>
      <c r="B1056">
        <v>20</v>
      </c>
      <c r="C1056" s="56" t="s">
        <v>240</v>
      </c>
      <c r="D1056">
        <v>2017</v>
      </c>
      <c r="E1056">
        <v>45</v>
      </c>
      <c r="F1056" s="57">
        <v>44.44</v>
      </c>
      <c r="G1056">
        <v>16</v>
      </c>
      <c r="H1056" s="58">
        <v>25.374400000000001</v>
      </c>
      <c r="I1056" s="57">
        <v>36.461199999999998</v>
      </c>
      <c r="J1056" s="58" t="s">
        <v>1</v>
      </c>
      <c r="K1056">
        <v>4.0999999999999996</v>
      </c>
      <c r="L1056" s="26"/>
      <c r="M1056" s="58">
        <v>80</v>
      </c>
      <c r="N1056" s="59" t="s">
        <v>897</v>
      </c>
      <c r="O1056" s="61" t="s">
        <v>898</v>
      </c>
    </row>
    <row r="1057" spans="1:15" ht="45" x14ac:dyDescent="0.25">
      <c r="A1057">
        <v>9402</v>
      </c>
      <c r="B1057">
        <v>20</v>
      </c>
      <c r="C1057" s="56" t="s">
        <v>240</v>
      </c>
      <c r="D1057">
        <v>2017</v>
      </c>
      <c r="E1057">
        <v>28</v>
      </c>
      <c r="F1057" s="57">
        <v>6.61</v>
      </c>
      <c r="G1057">
        <v>20</v>
      </c>
      <c r="H1057" s="58">
        <v>35.657200000000003</v>
      </c>
      <c r="I1057" s="57">
        <v>7.0167000000000002</v>
      </c>
      <c r="J1057" s="58" t="s">
        <v>1</v>
      </c>
      <c r="K1057">
        <v>4.3</v>
      </c>
      <c r="L1057" s="26"/>
      <c r="M1057" s="58">
        <v>18</v>
      </c>
      <c r="N1057" s="59" t="s">
        <v>10</v>
      </c>
      <c r="O1057" s="61" t="s">
        <v>899</v>
      </c>
    </row>
    <row r="1058" spans="1:15" ht="60" x14ac:dyDescent="0.25">
      <c r="A1058">
        <v>9403</v>
      </c>
      <c r="B1058">
        <v>21</v>
      </c>
      <c r="C1058" s="56" t="s">
        <v>240</v>
      </c>
      <c r="D1058">
        <v>2017</v>
      </c>
      <c r="E1058">
        <v>25</v>
      </c>
      <c r="F1058" s="57">
        <v>26.68</v>
      </c>
      <c r="G1058">
        <v>8</v>
      </c>
      <c r="H1058" s="58">
        <v>11.6221</v>
      </c>
      <c r="I1058" s="57">
        <v>3.6953</v>
      </c>
      <c r="J1058" s="58" t="s">
        <v>1</v>
      </c>
      <c r="K1058">
        <v>4.2</v>
      </c>
      <c r="L1058" s="26"/>
      <c r="M1058" s="58">
        <v>43</v>
      </c>
      <c r="N1058" s="59" t="s">
        <v>15</v>
      </c>
      <c r="O1058" s="61" t="s">
        <v>900</v>
      </c>
    </row>
    <row r="1059" spans="1:15" ht="60" x14ac:dyDescent="0.25">
      <c r="A1059">
        <v>9404</v>
      </c>
      <c r="B1059">
        <v>21</v>
      </c>
      <c r="C1059" s="56" t="s">
        <v>240</v>
      </c>
      <c r="D1059">
        <v>2017</v>
      </c>
      <c r="E1059">
        <v>19</v>
      </c>
      <c r="F1059" s="57">
        <v>6.68</v>
      </c>
      <c r="G1059">
        <v>14</v>
      </c>
      <c r="H1059" s="58">
        <v>-28.6022</v>
      </c>
      <c r="I1059" s="57">
        <v>25.206099999999999</v>
      </c>
      <c r="J1059" s="58" t="s">
        <v>1</v>
      </c>
      <c r="K1059">
        <v>4</v>
      </c>
      <c r="L1059" s="26"/>
      <c r="M1059" s="58">
        <v>105</v>
      </c>
      <c r="N1059" s="59" t="s">
        <v>6</v>
      </c>
      <c r="O1059" s="61" t="s">
        <v>68</v>
      </c>
    </row>
    <row r="1060" spans="1:15" ht="45" x14ac:dyDescent="0.25">
      <c r="A1060">
        <v>9405</v>
      </c>
      <c r="B1060">
        <v>22</v>
      </c>
      <c r="C1060" s="56" t="s">
        <v>240</v>
      </c>
      <c r="D1060">
        <v>2017</v>
      </c>
      <c r="E1060">
        <v>24</v>
      </c>
      <c r="F1060" s="57">
        <v>28.42</v>
      </c>
      <c r="G1060">
        <v>7</v>
      </c>
      <c r="H1060" s="58">
        <v>35.765799999999999</v>
      </c>
      <c r="I1060" s="57">
        <v>5.1204000000000001</v>
      </c>
      <c r="J1060" s="58" t="s">
        <v>1</v>
      </c>
      <c r="L1060" s="26">
        <v>3.1</v>
      </c>
      <c r="M1060" s="58">
        <v>15</v>
      </c>
      <c r="N1060" s="59" t="s">
        <v>10</v>
      </c>
      <c r="O1060" s="61" t="s">
        <v>901</v>
      </c>
    </row>
    <row r="1061" spans="1:15" ht="60" x14ac:dyDescent="0.25">
      <c r="A1061">
        <v>9406</v>
      </c>
      <c r="B1061">
        <v>22</v>
      </c>
      <c r="C1061" s="56" t="s">
        <v>240</v>
      </c>
      <c r="D1061">
        <v>2017</v>
      </c>
      <c r="E1061">
        <v>51</v>
      </c>
      <c r="F1061" s="57">
        <v>7.07</v>
      </c>
      <c r="G1061">
        <v>11</v>
      </c>
      <c r="H1061" s="58">
        <v>-29.5121</v>
      </c>
      <c r="I1061" s="57">
        <v>24.136199999999999</v>
      </c>
      <c r="J1061" s="58" t="s">
        <v>1</v>
      </c>
      <c r="K1061">
        <v>4.0999999999999996</v>
      </c>
      <c r="L1061" s="26"/>
      <c r="M1061" s="58">
        <v>136</v>
      </c>
      <c r="N1061" s="59" t="s">
        <v>6</v>
      </c>
      <c r="O1061" s="61" t="s">
        <v>588</v>
      </c>
    </row>
    <row r="1062" spans="1:15" ht="90" x14ac:dyDescent="0.25">
      <c r="A1062">
        <v>9407</v>
      </c>
      <c r="B1062">
        <v>23</v>
      </c>
      <c r="C1062" s="56" t="s">
        <v>240</v>
      </c>
      <c r="D1062">
        <v>2017</v>
      </c>
      <c r="E1062">
        <v>56</v>
      </c>
      <c r="F1062" s="57">
        <v>55.83</v>
      </c>
      <c r="G1062">
        <v>10</v>
      </c>
      <c r="H1062" s="58">
        <v>-30.379300000000001</v>
      </c>
      <c r="I1062" s="57">
        <v>32.3842</v>
      </c>
      <c r="J1062" s="58" t="s">
        <v>1</v>
      </c>
      <c r="K1062">
        <v>4</v>
      </c>
      <c r="L1062" s="26"/>
      <c r="M1062" s="58">
        <v>59</v>
      </c>
      <c r="N1062" s="59" t="s">
        <v>902</v>
      </c>
      <c r="O1062" s="61" t="s">
        <v>903</v>
      </c>
    </row>
    <row r="1063" spans="1:15" ht="45" x14ac:dyDescent="0.25">
      <c r="A1063">
        <v>9408</v>
      </c>
      <c r="B1063">
        <v>23</v>
      </c>
      <c r="C1063" s="56" t="s">
        <v>240</v>
      </c>
      <c r="D1063">
        <v>2017</v>
      </c>
      <c r="E1063">
        <v>5</v>
      </c>
      <c r="F1063" s="57">
        <v>56.88</v>
      </c>
      <c r="G1063">
        <v>13</v>
      </c>
      <c r="H1063" s="58">
        <v>37.3294</v>
      </c>
      <c r="I1063" s="57">
        <v>9.3119999999999994</v>
      </c>
      <c r="J1063" s="58" t="s">
        <v>1</v>
      </c>
      <c r="L1063" s="26"/>
      <c r="M1063" s="58">
        <v>93</v>
      </c>
      <c r="N1063" s="59" t="s">
        <v>2</v>
      </c>
      <c r="O1063" s="61" t="s">
        <v>904</v>
      </c>
    </row>
    <row r="1064" spans="1:15" ht="60" x14ac:dyDescent="0.25">
      <c r="A1064">
        <v>9409</v>
      </c>
      <c r="B1064">
        <v>24</v>
      </c>
      <c r="C1064" s="56" t="s">
        <v>240</v>
      </c>
      <c r="D1064">
        <v>2017</v>
      </c>
      <c r="E1064">
        <v>24</v>
      </c>
      <c r="F1064" s="57">
        <v>57.62</v>
      </c>
      <c r="G1064">
        <v>14</v>
      </c>
      <c r="H1064" s="58">
        <v>-25.520399999999999</v>
      </c>
      <c r="I1064" s="57">
        <v>27.207100000000001</v>
      </c>
      <c r="J1064" s="58" t="s">
        <v>1</v>
      </c>
      <c r="K1064">
        <v>3.9</v>
      </c>
      <c r="L1064" s="26"/>
      <c r="M1064" s="58">
        <v>122</v>
      </c>
      <c r="N1064" s="59" t="s">
        <v>6</v>
      </c>
      <c r="O1064" s="61" t="s">
        <v>905</v>
      </c>
    </row>
    <row r="1065" spans="1:15" ht="45" x14ac:dyDescent="0.25">
      <c r="A1065">
        <v>9410</v>
      </c>
      <c r="B1065">
        <v>24</v>
      </c>
      <c r="C1065" s="56" t="s">
        <v>240</v>
      </c>
      <c r="D1065">
        <v>2017</v>
      </c>
      <c r="E1065">
        <v>3</v>
      </c>
      <c r="F1065" s="57">
        <v>22.1</v>
      </c>
      <c r="G1065">
        <v>19</v>
      </c>
      <c r="H1065" s="58">
        <v>17.746200000000002</v>
      </c>
      <c r="I1065" s="57">
        <v>33.9679</v>
      </c>
      <c r="J1065" s="58" t="s">
        <v>1</v>
      </c>
      <c r="K1065">
        <v>3.8</v>
      </c>
      <c r="L1065" s="26">
        <v>3.6</v>
      </c>
      <c r="M1065" s="58">
        <v>84</v>
      </c>
      <c r="N1065" s="59" t="s">
        <v>117</v>
      </c>
      <c r="O1065" s="61" t="s">
        <v>906</v>
      </c>
    </row>
    <row r="1066" spans="1:15" ht="60" x14ac:dyDescent="0.25">
      <c r="A1066">
        <v>9411</v>
      </c>
      <c r="B1066">
        <v>25</v>
      </c>
      <c r="C1066" s="56" t="s">
        <v>240</v>
      </c>
      <c r="D1066">
        <v>2017</v>
      </c>
      <c r="E1066">
        <v>36</v>
      </c>
      <c r="F1066" s="57">
        <v>45.27</v>
      </c>
      <c r="G1066">
        <v>22</v>
      </c>
      <c r="H1066" s="58">
        <v>-28.642299999999999</v>
      </c>
      <c r="I1066" s="57">
        <v>25.2986</v>
      </c>
      <c r="J1066" s="58" t="s">
        <v>1</v>
      </c>
      <c r="K1066">
        <v>4.4000000000000004</v>
      </c>
      <c r="L1066" s="26"/>
      <c r="M1066" s="58">
        <v>127</v>
      </c>
      <c r="N1066" s="59" t="s">
        <v>6</v>
      </c>
      <c r="O1066" s="61" t="s">
        <v>68</v>
      </c>
    </row>
    <row r="1067" spans="1:15" ht="60" x14ac:dyDescent="0.25">
      <c r="A1067">
        <v>9412</v>
      </c>
      <c r="B1067">
        <v>26</v>
      </c>
      <c r="C1067" s="56" t="s">
        <v>240</v>
      </c>
      <c r="D1067">
        <v>2017</v>
      </c>
      <c r="E1067">
        <v>44</v>
      </c>
      <c r="F1067" s="57">
        <v>4.0999999999999996</v>
      </c>
      <c r="G1067">
        <v>4</v>
      </c>
      <c r="H1067" s="58">
        <v>-8.0332000000000008</v>
      </c>
      <c r="I1067" s="57">
        <v>44.0199</v>
      </c>
      <c r="J1067" s="58" t="s">
        <v>1</v>
      </c>
      <c r="K1067">
        <v>4.3</v>
      </c>
      <c r="L1067" s="26"/>
      <c r="M1067" s="58">
        <v>69</v>
      </c>
      <c r="N1067" s="59" t="s">
        <v>241</v>
      </c>
      <c r="O1067" s="61" t="s">
        <v>907</v>
      </c>
    </row>
    <row r="1068" spans="1:15" ht="60" x14ac:dyDescent="0.25">
      <c r="A1068">
        <v>9413</v>
      </c>
      <c r="B1068">
        <v>26</v>
      </c>
      <c r="C1068" s="56" t="s">
        <v>240</v>
      </c>
      <c r="D1068">
        <v>2017</v>
      </c>
      <c r="E1068">
        <v>17</v>
      </c>
      <c r="F1068" s="57">
        <v>31.02</v>
      </c>
      <c r="G1068">
        <v>20</v>
      </c>
      <c r="H1068" s="58">
        <v>36.240299999999998</v>
      </c>
      <c r="I1068" s="57">
        <v>7.7622</v>
      </c>
      <c r="J1068" s="58" t="s">
        <v>1</v>
      </c>
      <c r="K1068">
        <v>4.0999999999999996</v>
      </c>
      <c r="L1068" s="26">
        <v>3.7</v>
      </c>
      <c r="M1068" s="58">
        <v>67</v>
      </c>
      <c r="N1068" s="59" t="s">
        <v>10</v>
      </c>
      <c r="O1068" s="61" t="s">
        <v>908</v>
      </c>
    </row>
    <row r="1069" spans="1:15" ht="60" x14ac:dyDescent="0.25">
      <c r="A1069">
        <v>9414</v>
      </c>
      <c r="B1069">
        <v>27</v>
      </c>
      <c r="C1069" s="56" t="s">
        <v>240</v>
      </c>
      <c r="D1069">
        <v>2017</v>
      </c>
      <c r="E1069">
        <v>33</v>
      </c>
      <c r="F1069" s="57">
        <v>35.47</v>
      </c>
      <c r="G1069">
        <v>12</v>
      </c>
      <c r="H1069" s="58">
        <v>-25.4983</v>
      </c>
      <c r="I1069" s="57">
        <v>28.4726</v>
      </c>
      <c r="J1069" s="58" t="s">
        <v>1</v>
      </c>
      <c r="K1069">
        <v>3.8</v>
      </c>
      <c r="L1069" s="26">
        <v>3.5</v>
      </c>
      <c r="M1069" s="58">
        <v>115</v>
      </c>
      <c r="N1069" s="59" t="s">
        <v>6</v>
      </c>
      <c r="O1069" s="61" t="s">
        <v>909</v>
      </c>
    </row>
    <row r="1070" spans="1:15" ht="75" x14ac:dyDescent="0.25">
      <c r="A1070">
        <v>9415</v>
      </c>
      <c r="B1070">
        <v>27</v>
      </c>
      <c r="C1070" s="56" t="s">
        <v>240</v>
      </c>
      <c r="D1070">
        <v>2017</v>
      </c>
      <c r="E1070">
        <v>36</v>
      </c>
      <c r="F1070" s="57">
        <v>1.68</v>
      </c>
      <c r="G1070">
        <v>15</v>
      </c>
      <c r="H1070" s="58">
        <v>32.959200000000003</v>
      </c>
      <c r="I1070" s="57">
        <v>26.755600000000001</v>
      </c>
      <c r="J1070" s="58" t="s">
        <v>1</v>
      </c>
      <c r="K1070">
        <v>3.7</v>
      </c>
      <c r="L1070" s="26">
        <v>3.7</v>
      </c>
      <c r="M1070" s="58">
        <v>136</v>
      </c>
      <c r="N1070" s="59" t="s">
        <v>824</v>
      </c>
      <c r="O1070" s="61" t="s">
        <v>910</v>
      </c>
    </row>
    <row r="1071" spans="1:15" ht="90" x14ac:dyDescent="0.25">
      <c r="A1071">
        <v>9416</v>
      </c>
      <c r="B1071">
        <v>27</v>
      </c>
      <c r="C1071" s="56" t="s">
        <v>240</v>
      </c>
      <c r="D1071">
        <v>2017</v>
      </c>
      <c r="E1071">
        <v>49</v>
      </c>
      <c r="F1071" s="57">
        <v>40.57</v>
      </c>
      <c r="G1071">
        <v>21</v>
      </c>
      <c r="H1071" s="58">
        <v>-7.5438999999999998</v>
      </c>
      <c r="I1071" s="57">
        <v>28.866599999999998</v>
      </c>
      <c r="J1071" s="58" t="s">
        <v>1</v>
      </c>
      <c r="K1071">
        <v>3.9</v>
      </c>
      <c r="L1071" s="26">
        <v>3.5</v>
      </c>
      <c r="M1071" s="58">
        <v>106</v>
      </c>
      <c r="N1071" s="59" t="s">
        <v>8</v>
      </c>
      <c r="O1071" s="61" t="s">
        <v>911</v>
      </c>
    </row>
    <row r="1072" spans="1:15" ht="30" x14ac:dyDescent="0.25">
      <c r="A1072">
        <v>9417</v>
      </c>
      <c r="B1072">
        <v>28</v>
      </c>
      <c r="C1072" s="56" t="s">
        <v>240</v>
      </c>
      <c r="D1072">
        <v>2017</v>
      </c>
      <c r="E1072">
        <v>46</v>
      </c>
      <c r="F1072" s="57">
        <v>49.13</v>
      </c>
      <c r="G1072">
        <v>20</v>
      </c>
      <c r="H1072" s="58">
        <v>-5.2316000000000003</v>
      </c>
      <c r="I1072" s="57">
        <v>36.039400000000001</v>
      </c>
      <c r="J1072" s="58" t="s">
        <v>1</v>
      </c>
      <c r="K1072">
        <v>3.9</v>
      </c>
      <c r="L1072" s="26">
        <v>3.6</v>
      </c>
      <c r="M1072" s="58">
        <v>102</v>
      </c>
      <c r="N1072" s="59" t="s">
        <v>96</v>
      </c>
      <c r="O1072" s="61" t="s">
        <v>132</v>
      </c>
    </row>
    <row r="1073" spans="1:15" ht="45" x14ac:dyDescent="0.25">
      <c r="A1073">
        <v>9418</v>
      </c>
      <c r="B1073">
        <v>28</v>
      </c>
      <c r="C1073" s="56" t="s">
        <v>240</v>
      </c>
      <c r="D1073">
        <v>2017</v>
      </c>
      <c r="E1073">
        <v>28</v>
      </c>
      <c r="F1073" s="57">
        <v>16.38</v>
      </c>
      <c r="G1073">
        <v>23</v>
      </c>
      <c r="H1073" s="58">
        <v>32.428600000000003</v>
      </c>
      <c r="I1073" s="57">
        <v>-0.64400000000000002</v>
      </c>
      <c r="J1073" s="58" t="s">
        <v>1</v>
      </c>
      <c r="K1073">
        <v>4.0999999999999996</v>
      </c>
      <c r="L1073" s="26">
        <v>2.8</v>
      </c>
      <c r="M1073" s="58">
        <v>163</v>
      </c>
      <c r="N1073" s="59" t="s">
        <v>10</v>
      </c>
      <c r="O1073" s="61" t="s">
        <v>912</v>
      </c>
    </row>
    <row r="1074" spans="1:15" ht="45" x14ac:dyDescent="0.25">
      <c r="A1074">
        <v>9419</v>
      </c>
      <c r="B1074">
        <v>29</v>
      </c>
      <c r="C1074" s="56" t="s">
        <v>240</v>
      </c>
      <c r="D1074">
        <v>2017</v>
      </c>
      <c r="E1074">
        <v>42</v>
      </c>
      <c r="F1074" s="57">
        <v>30.3</v>
      </c>
      <c r="G1074">
        <v>2</v>
      </c>
      <c r="H1074" s="58">
        <v>37.017000000000003</v>
      </c>
      <c r="I1074" s="57">
        <v>9.8543000000000003</v>
      </c>
      <c r="J1074" s="58" t="s">
        <v>1</v>
      </c>
      <c r="K1074">
        <v>4</v>
      </c>
      <c r="L1074" s="26"/>
      <c r="M1074" s="58">
        <v>107</v>
      </c>
      <c r="N1074" s="59" t="s">
        <v>2</v>
      </c>
      <c r="O1074" s="61" t="s">
        <v>913</v>
      </c>
    </row>
    <row r="1075" spans="1:15" ht="45" x14ac:dyDescent="0.25">
      <c r="A1075">
        <v>9420</v>
      </c>
      <c r="B1075">
        <v>29</v>
      </c>
      <c r="C1075" s="56" t="s">
        <v>240</v>
      </c>
      <c r="D1075">
        <v>2017</v>
      </c>
      <c r="E1075">
        <v>8</v>
      </c>
      <c r="F1075" s="57">
        <v>31.19</v>
      </c>
      <c r="G1075">
        <v>16</v>
      </c>
      <c r="H1075" s="58">
        <v>37.1188</v>
      </c>
      <c r="I1075" s="57">
        <v>30.742000000000001</v>
      </c>
      <c r="J1075" s="58" t="s">
        <v>1</v>
      </c>
      <c r="K1075">
        <v>4.5</v>
      </c>
      <c r="L1075" s="26">
        <v>3.9</v>
      </c>
      <c r="M1075" s="58">
        <v>147</v>
      </c>
      <c r="N1075" s="59" t="s">
        <v>399</v>
      </c>
      <c r="O1075" s="61" t="s">
        <v>914</v>
      </c>
    </row>
    <row r="1076" spans="1:15" ht="105" x14ac:dyDescent="0.25">
      <c r="A1076">
        <v>9421</v>
      </c>
      <c r="B1076">
        <v>30</v>
      </c>
      <c r="C1076" s="56" t="s">
        <v>240</v>
      </c>
      <c r="D1076">
        <v>2017</v>
      </c>
      <c r="E1076">
        <v>20</v>
      </c>
      <c r="F1076" s="57">
        <v>5.69</v>
      </c>
      <c r="G1076">
        <v>4</v>
      </c>
      <c r="H1076" s="58">
        <v>-26.5062</v>
      </c>
      <c r="I1076" s="57">
        <v>27.284400000000002</v>
      </c>
      <c r="J1076" s="58" t="s">
        <v>1</v>
      </c>
      <c r="L1076" s="26">
        <v>2.5</v>
      </c>
      <c r="M1076" s="58">
        <v>130</v>
      </c>
      <c r="N1076" s="59" t="s">
        <v>6</v>
      </c>
      <c r="O1076" s="61" t="s">
        <v>222</v>
      </c>
    </row>
    <row r="1077" spans="1:15" ht="60" x14ac:dyDescent="0.25">
      <c r="A1077">
        <v>9422</v>
      </c>
      <c r="B1077">
        <v>1</v>
      </c>
      <c r="C1077" s="56" t="s">
        <v>314</v>
      </c>
      <c r="D1077">
        <v>2017</v>
      </c>
      <c r="E1077">
        <v>56</v>
      </c>
      <c r="F1077" s="57">
        <v>23.93</v>
      </c>
      <c r="G1077">
        <v>4</v>
      </c>
      <c r="H1077" s="58">
        <v>-0.9657</v>
      </c>
      <c r="I1077" s="57">
        <v>37.405799999999999</v>
      </c>
      <c r="J1077" s="58" t="s">
        <v>1</v>
      </c>
      <c r="K1077">
        <v>3.6</v>
      </c>
      <c r="L1077" s="26"/>
      <c r="M1077" s="58">
        <v>65</v>
      </c>
      <c r="N1077" s="59" t="s">
        <v>13</v>
      </c>
      <c r="O1077" s="61" t="s">
        <v>182</v>
      </c>
    </row>
    <row r="1078" spans="1:15" ht="90" x14ac:dyDescent="0.25">
      <c r="A1078">
        <v>9423</v>
      </c>
      <c r="B1078">
        <v>1</v>
      </c>
      <c r="C1078" s="56" t="s">
        <v>314</v>
      </c>
      <c r="D1078">
        <v>2017</v>
      </c>
      <c r="E1078">
        <v>5</v>
      </c>
      <c r="F1078" s="57">
        <v>28.77</v>
      </c>
      <c r="G1078">
        <v>8</v>
      </c>
      <c r="H1078" s="58">
        <v>-39.657299999999999</v>
      </c>
      <c r="I1078" s="57">
        <v>18.050599999999999</v>
      </c>
      <c r="J1078" s="58" t="s">
        <v>1</v>
      </c>
      <c r="K1078">
        <v>4.0999999999999996</v>
      </c>
      <c r="L1078" s="26"/>
      <c r="M1078" s="58">
        <v>53</v>
      </c>
      <c r="N1078" s="59" t="s">
        <v>902</v>
      </c>
      <c r="O1078" s="61" t="s">
        <v>915</v>
      </c>
    </row>
    <row r="1079" spans="1:15" ht="45" x14ac:dyDescent="0.25">
      <c r="A1079">
        <v>9424</v>
      </c>
      <c r="B1079">
        <v>2</v>
      </c>
      <c r="C1079" s="56" t="s">
        <v>314</v>
      </c>
      <c r="D1079">
        <v>2017</v>
      </c>
      <c r="E1079">
        <v>41</v>
      </c>
      <c r="F1079" s="57">
        <v>33.96</v>
      </c>
      <c r="G1079">
        <v>11</v>
      </c>
      <c r="H1079" s="58">
        <v>14.1073</v>
      </c>
      <c r="I1079" s="57">
        <v>0.72340000000000004</v>
      </c>
      <c r="J1079" s="58" t="s">
        <v>1</v>
      </c>
      <c r="K1079">
        <v>4.0999999999999996</v>
      </c>
      <c r="L1079" s="26"/>
      <c r="M1079" s="58">
        <v>74</v>
      </c>
      <c r="N1079" s="59" t="s">
        <v>15</v>
      </c>
      <c r="O1079" s="61" t="s">
        <v>144</v>
      </c>
    </row>
    <row r="1080" spans="1:15" ht="45" x14ac:dyDescent="0.25">
      <c r="A1080">
        <v>9425</v>
      </c>
      <c r="B1080">
        <v>2</v>
      </c>
      <c r="C1080" s="56" t="s">
        <v>314</v>
      </c>
      <c r="D1080">
        <v>2017</v>
      </c>
      <c r="E1080">
        <v>34</v>
      </c>
      <c r="F1080" s="57">
        <v>9.07</v>
      </c>
      <c r="G1080">
        <v>23</v>
      </c>
      <c r="H1080" s="58">
        <v>24.780200000000001</v>
      </c>
      <c r="I1080" s="57">
        <v>19.1083</v>
      </c>
      <c r="J1080" s="58" t="s">
        <v>1</v>
      </c>
      <c r="K1080">
        <v>3.2</v>
      </c>
      <c r="L1080" s="26">
        <v>2.7</v>
      </c>
      <c r="M1080" s="58">
        <v>98</v>
      </c>
      <c r="N1080" s="59" t="s">
        <v>48</v>
      </c>
      <c r="O1080" s="61" t="s">
        <v>715</v>
      </c>
    </row>
    <row r="1081" spans="1:15" ht="105" x14ac:dyDescent="0.25">
      <c r="A1081">
        <v>9426</v>
      </c>
      <c r="B1081">
        <v>3</v>
      </c>
      <c r="C1081" s="56" t="s">
        <v>314</v>
      </c>
      <c r="D1081">
        <v>2017</v>
      </c>
      <c r="E1081">
        <v>20</v>
      </c>
      <c r="F1081" s="57">
        <v>38.04</v>
      </c>
      <c r="G1081">
        <v>8</v>
      </c>
      <c r="H1081" s="58">
        <v>-26.503</v>
      </c>
      <c r="I1081" s="57">
        <v>27.531500000000001</v>
      </c>
      <c r="J1081" s="58" t="s">
        <v>1</v>
      </c>
      <c r="K1081">
        <v>3.4</v>
      </c>
      <c r="L1081" s="26">
        <v>2.9</v>
      </c>
      <c r="M1081" s="58">
        <v>116</v>
      </c>
      <c r="N1081" s="59" t="s">
        <v>6</v>
      </c>
      <c r="O1081" s="61" t="s">
        <v>222</v>
      </c>
    </row>
    <row r="1082" spans="1:15" ht="75" x14ac:dyDescent="0.25">
      <c r="A1082">
        <v>9427</v>
      </c>
      <c r="B1082">
        <v>5</v>
      </c>
      <c r="C1082" s="56" t="s">
        <v>314</v>
      </c>
      <c r="D1082">
        <v>2017</v>
      </c>
      <c r="E1082">
        <v>14</v>
      </c>
      <c r="F1082" s="57">
        <v>9.73</v>
      </c>
      <c r="G1082">
        <v>2</v>
      </c>
      <c r="H1082" s="58">
        <v>-26.4299</v>
      </c>
      <c r="I1082" s="57">
        <v>27.400700000000001</v>
      </c>
      <c r="J1082" s="58" t="s">
        <v>1</v>
      </c>
      <c r="K1082">
        <v>3.5</v>
      </c>
      <c r="L1082" s="26">
        <v>2.7</v>
      </c>
      <c r="M1082" s="58">
        <v>114</v>
      </c>
      <c r="N1082" s="59" t="s">
        <v>6</v>
      </c>
      <c r="O1082" s="61" t="s">
        <v>916</v>
      </c>
    </row>
    <row r="1083" spans="1:15" ht="45" x14ac:dyDescent="0.25">
      <c r="A1083">
        <v>9428</v>
      </c>
      <c r="B1083">
        <v>6</v>
      </c>
      <c r="C1083" s="56" t="s">
        <v>314</v>
      </c>
      <c r="D1083">
        <v>2017</v>
      </c>
      <c r="E1083">
        <v>7</v>
      </c>
      <c r="F1083" s="57">
        <v>26.24</v>
      </c>
      <c r="G1083">
        <v>21</v>
      </c>
      <c r="H1083" s="58">
        <v>12.8263</v>
      </c>
      <c r="I1083" s="57">
        <v>1.7119</v>
      </c>
      <c r="J1083" s="58" t="s">
        <v>1</v>
      </c>
      <c r="K1083">
        <v>4.0999999999999996</v>
      </c>
      <c r="L1083" s="26"/>
      <c r="M1083" s="58">
        <v>9</v>
      </c>
      <c r="N1083" s="59" t="s">
        <v>15</v>
      </c>
      <c r="O1083" s="61" t="s">
        <v>50</v>
      </c>
    </row>
    <row r="1084" spans="1:15" ht="90" x14ac:dyDescent="0.25">
      <c r="A1084">
        <v>9429</v>
      </c>
      <c r="B1084">
        <v>6</v>
      </c>
      <c r="C1084" s="56" t="s">
        <v>314</v>
      </c>
      <c r="D1084">
        <v>2017</v>
      </c>
      <c r="E1084">
        <v>28</v>
      </c>
      <c r="F1084" s="57">
        <v>10.85</v>
      </c>
      <c r="G1084">
        <v>22</v>
      </c>
      <c r="H1084" s="58">
        <v>4.5594999999999999</v>
      </c>
      <c r="I1084" s="57">
        <v>-17.542300000000001</v>
      </c>
      <c r="J1084" s="58" t="s">
        <v>1</v>
      </c>
      <c r="K1084">
        <v>4.0999999999999996</v>
      </c>
      <c r="L1084" s="26"/>
      <c r="M1084" s="58">
        <v>110</v>
      </c>
      <c r="N1084" s="59" t="s">
        <v>154</v>
      </c>
      <c r="O1084" s="61" t="s">
        <v>917</v>
      </c>
    </row>
    <row r="1085" spans="1:15" ht="60" x14ac:dyDescent="0.25">
      <c r="A1085">
        <v>9430</v>
      </c>
      <c r="B1085">
        <v>8</v>
      </c>
      <c r="C1085" s="56" t="s">
        <v>314</v>
      </c>
      <c r="D1085">
        <v>2017</v>
      </c>
      <c r="E1085">
        <v>53</v>
      </c>
      <c r="F1085" s="57">
        <v>17.09</v>
      </c>
      <c r="G1085">
        <v>22</v>
      </c>
      <c r="H1085" s="58">
        <v>-30.801100000000002</v>
      </c>
      <c r="I1085" s="57">
        <v>21.380199999999999</v>
      </c>
      <c r="J1085" s="58" t="s">
        <v>1</v>
      </c>
      <c r="K1085">
        <v>4.3</v>
      </c>
      <c r="L1085" s="26">
        <v>3.6</v>
      </c>
      <c r="M1085" s="58">
        <v>174</v>
      </c>
      <c r="N1085" s="59" t="s">
        <v>6</v>
      </c>
      <c r="O1085" s="61" t="s">
        <v>918</v>
      </c>
    </row>
    <row r="1086" spans="1:15" ht="60" x14ac:dyDescent="0.25">
      <c r="A1086">
        <v>9431</v>
      </c>
      <c r="B1086">
        <v>9</v>
      </c>
      <c r="C1086" s="56" t="s">
        <v>314</v>
      </c>
      <c r="D1086">
        <v>2017</v>
      </c>
      <c r="E1086">
        <v>17</v>
      </c>
      <c r="F1086" s="57">
        <v>1.26</v>
      </c>
      <c r="G1086">
        <v>6</v>
      </c>
      <c r="H1086" s="58">
        <v>-25.2317</v>
      </c>
      <c r="I1086" s="57">
        <v>30.9008</v>
      </c>
      <c r="J1086" s="58" t="s">
        <v>1</v>
      </c>
      <c r="K1086">
        <v>4.4000000000000004</v>
      </c>
      <c r="L1086" s="26">
        <v>3.1</v>
      </c>
      <c r="M1086" s="58">
        <v>167</v>
      </c>
      <c r="N1086" s="59" t="s">
        <v>6</v>
      </c>
      <c r="O1086" s="61" t="s">
        <v>168</v>
      </c>
    </row>
    <row r="1087" spans="1:15" ht="45" x14ac:dyDescent="0.25">
      <c r="A1087">
        <v>9432</v>
      </c>
      <c r="B1087">
        <v>10</v>
      </c>
      <c r="C1087" s="56" t="s">
        <v>314</v>
      </c>
      <c r="D1087">
        <v>2017</v>
      </c>
      <c r="E1087">
        <v>42</v>
      </c>
      <c r="F1087" s="57">
        <v>32.14</v>
      </c>
      <c r="G1087">
        <v>6</v>
      </c>
      <c r="H1087" s="58">
        <v>15.1172</v>
      </c>
      <c r="I1087" s="57">
        <v>-9.0016999999999996</v>
      </c>
      <c r="J1087" s="58" t="s">
        <v>1</v>
      </c>
      <c r="K1087">
        <v>4.4000000000000004</v>
      </c>
      <c r="L1087" s="26"/>
      <c r="M1087" s="58">
        <v>114</v>
      </c>
      <c r="N1087" s="59" t="s">
        <v>15</v>
      </c>
      <c r="O1087" s="61" t="s">
        <v>919</v>
      </c>
    </row>
    <row r="1088" spans="1:15" ht="45" x14ac:dyDescent="0.25">
      <c r="A1088">
        <v>9433</v>
      </c>
      <c r="B1088">
        <v>10</v>
      </c>
      <c r="C1088" s="56" t="s">
        <v>314</v>
      </c>
      <c r="D1088">
        <v>2017</v>
      </c>
      <c r="E1088">
        <v>54</v>
      </c>
      <c r="F1088" s="57">
        <v>22.51</v>
      </c>
      <c r="G1088">
        <v>17</v>
      </c>
      <c r="H1088" s="58">
        <v>22.772400000000001</v>
      </c>
      <c r="I1088" s="57">
        <v>-12.535299999999999</v>
      </c>
      <c r="J1088" s="58" t="s">
        <v>1</v>
      </c>
      <c r="K1088">
        <v>3.8</v>
      </c>
      <c r="L1088" s="26">
        <v>3.8</v>
      </c>
      <c r="M1088" s="58">
        <v>85</v>
      </c>
      <c r="N1088" s="59" t="s">
        <v>15</v>
      </c>
      <c r="O1088" s="61" t="s">
        <v>172</v>
      </c>
    </row>
    <row r="1089" spans="1:15" ht="75" x14ac:dyDescent="0.25">
      <c r="A1089">
        <v>9434</v>
      </c>
      <c r="B1089">
        <v>10</v>
      </c>
      <c r="C1089" s="56" t="s">
        <v>314</v>
      </c>
      <c r="D1089">
        <v>2017</v>
      </c>
      <c r="E1089">
        <v>2</v>
      </c>
      <c r="F1089" s="57">
        <v>44.6</v>
      </c>
      <c r="G1089">
        <v>19</v>
      </c>
      <c r="H1089" s="58">
        <v>-2.5878000000000001</v>
      </c>
      <c r="I1089" s="57">
        <v>22.6707</v>
      </c>
      <c r="J1089" s="58" t="s">
        <v>1</v>
      </c>
      <c r="K1089">
        <v>4.5</v>
      </c>
      <c r="L1089" s="26"/>
      <c r="M1089" s="58">
        <v>122</v>
      </c>
      <c r="N1089" s="59" t="s">
        <v>8</v>
      </c>
      <c r="O1089" s="61" t="s">
        <v>920</v>
      </c>
    </row>
    <row r="1090" spans="1:15" ht="60" x14ac:dyDescent="0.25">
      <c r="A1090">
        <v>9435</v>
      </c>
      <c r="B1090">
        <v>10</v>
      </c>
      <c r="C1090" s="56" t="s">
        <v>314</v>
      </c>
      <c r="D1090">
        <v>2017</v>
      </c>
      <c r="E1090">
        <v>5</v>
      </c>
      <c r="F1090" s="57">
        <v>44.43</v>
      </c>
      <c r="G1090">
        <v>19</v>
      </c>
      <c r="H1090" s="58">
        <v>19.586099999999998</v>
      </c>
      <c r="I1090" s="57">
        <v>-18.6693</v>
      </c>
      <c r="J1090" s="58" t="s">
        <v>1</v>
      </c>
      <c r="K1090">
        <v>4</v>
      </c>
      <c r="L1090" s="26">
        <v>3.5</v>
      </c>
      <c r="M1090" s="58">
        <v>40</v>
      </c>
      <c r="N1090" s="59" t="s">
        <v>921</v>
      </c>
      <c r="O1090" s="61" t="s">
        <v>922</v>
      </c>
    </row>
    <row r="1091" spans="1:15" ht="75" x14ac:dyDescent="0.25">
      <c r="A1091">
        <v>9436</v>
      </c>
      <c r="B1091">
        <v>10</v>
      </c>
      <c r="C1091" s="56" t="s">
        <v>314</v>
      </c>
      <c r="D1091">
        <v>2017</v>
      </c>
      <c r="E1091">
        <v>59</v>
      </c>
      <c r="F1091" s="57">
        <v>0</v>
      </c>
      <c r="G1091">
        <v>19</v>
      </c>
      <c r="H1091" s="58">
        <v>34.889499999999998</v>
      </c>
      <c r="I1091" s="57">
        <v>22.603000000000002</v>
      </c>
      <c r="J1091" s="58" t="s">
        <v>1</v>
      </c>
      <c r="K1091">
        <v>4.0999999999999996</v>
      </c>
      <c r="L1091" s="26">
        <v>3.6</v>
      </c>
      <c r="M1091" s="58">
        <v>57</v>
      </c>
      <c r="N1091" s="59" t="s">
        <v>814</v>
      </c>
      <c r="O1091" s="61" t="s">
        <v>891</v>
      </c>
    </row>
    <row r="1092" spans="1:15" ht="60" x14ac:dyDescent="0.25">
      <c r="A1092">
        <v>9437</v>
      </c>
      <c r="B1092">
        <v>11</v>
      </c>
      <c r="C1092" s="56" t="s">
        <v>314</v>
      </c>
      <c r="D1092">
        <v>2017</v>
      </c>
      <c r="E1092">
        <v>59</v>
      </c>
      <c r="F1092" s="57">
        <v>34.31</v>
      </c>
      <c r="G1092">
        <v>12</v>
      </c>
      <c r="H1092" s="58">
        <v>-27.5656</v>
      </c>
      <c r="I1092" s="57">
        <v>23.680399999999999</v>
      </c>
      <c r="J1092" s="58" t="s">
        <v>1</v>
      </c>
      <c r="K1092">
        <v>4.2</v>
      </c>
      <c r="L1092" s="26"/>
      <c r="M1092" s="58">
        <v>35</v>
      </c>
      <c r="N1092" s="59" t="s">
        <v>6</v>
      </c>
      <c r="O1092" s="64" t="s">
        <v>923</v>
      </c>
    </row>
    <row r="1093" spans="1:15" ht="60" x14ac:dyDescent="0.25">
      <c r="A1093">
        <v>9438</v>
      </c>
      <c r="B1093">
        <v>11</v>
      </c>
      <c r="C1093" s="56" t="s">
        <v>314</v>
      </c>
      <c r="D1093">
        <v>2017</v>
      </c>
      <c r="E1093">
        <v>43</v>
      </c>
      <c r="F1093" s="57">
        <v>14.36</v>
      </c>
      <c r="G1093">
        <v>13</v>
      </c>
      <c r="H1093" s="58">
        <v>-25.845300000000002</v>
      </c>
      <c r="I1093" s="57">
        <v>30.924499999999998</v>
      </c>
      <c r="J1093" s="58" t="s">
        <v>1</v>
      </c>
      <c r="K1093">
        <v>4.0999999999999996</v>
      </c>
      <c r="L1093" s="26">
        <v>3.1</v>
      </c>
      <c r="M1093" s="58">
        <v>154</v>
      </c>
      <c r="N1093" s="59" t="s">
        <v>6</v>
      </c>
      <c r="O1093" s="64" t="s">
        <v>924</v>
      </c>
    </row>
    <row r="1094" spans="1:15" x14ac:dyDescent="0.25">
      <c r="A1094">
        <v>9439</v>
      </c>
      <c r="B1094">
        <v>11</v>
      </c>
      <c r="C1094" s="56" t="s">
        <v>314</v>
      </c>
      <c r="D1094">
        <v>2017</v>
      </c>
      <c r="E1094">
        <v>15</v>
      </c>
      <c r="F1094" s="57">
        <v>51.56</v>
      </c>
      <c r="G1094">
        <v>23</v>
      </c>
      <c r="H1094" s="58">
        <v>30.538</v>
      </c>
      <c r="I1094" s="57">
        <v>33.2746</v>
      </c>
      <c r="J1094" s="58" t="s">
        <v>1</v>
      </c>
      <c r="K1094">
        <v>3.8</v>
      </c>
      <c r="L1094" s="26">
        <v>2.7</v>
      </c>
      <c r="M1094" s="58">
        <v>114</v>
      </c>
      <c r="N1094" s="59" t="s">
        <v>72</v>
      </c>
      <c r="O1094" s="64" t="s">
        <v>925</v>
      </c>
    </row>
    <row r="1095" spans="1:15" ht="60" x14ac:dyDescent="0.25">
      <c r="A1095">
        <v>9440</v>
      </c>
      <c r="B1095">
        <v>12</v>
      </c>
      <c r="C1095" s="56" t="s">
        <v>314</v>
      </c>
      <c r="D1095">
        <v>2017</v>
      </c>
      <c r="E1095">
        <v>56</v>
      </c>
      <c r="F1095" s="57">
        <v>24.61</v>
      </c>
      <c r="G1095">
        <v>3</v>
      </c>
      <c r="H1095" s="58">
        <v>-28.091200000000001</v>
      </c>
      <c r="I1095" s="57">
        <v>23.7469</v>
      </c>
      <c r="J1095" s="58" t="s">
        <v>1</v>
      </c>
      <c r="K1095">
        <v>4.3</v>
      </c>
      <c r="L1095" s="26"/>
      <c r="M1095" s="58">
        <v>23</v>
      </c>
      <c r="N1095" s="59" t="s">
        <v>6</v>
      </c>
      <c r="O1095" s="64" t="s">
        <v>926</v>
      </c>
    </row>
    <row r="1096" spans="1:15" ht="45" x14ac:dyDescent="0.25">
      <c r="A1096">
        <v>9441</v>
      </c>
      <c r="B1096">
        <v>12</v>
      </c>
      <c r="C1096" s="56" t="s">
        <v>314</v>
      </c>
      <c r="D1096">
        <v>2017</v>
      </c>
      <c r="E1096">
        <v>0</v>
      </c>
      <c r="F1096" s="57">
        <v>58.51</v>
      </c>
      <c r="G1096">
        <v>5</v>
      </c>
      <c r="H1096" s="58">
        <v>-6.8390000000000004</v>
      </c>
      <c r="I1096" s="57">
        <v>30.321300000000001</v>
      </c>
      <c r="J1096" s="58" t="s">
        <v>1</v>
      </c>
      <c r="L1096" s="26">
        <v>4</v>
      </c>
      <c r="M1096" s="58">
        <v>121</v>
      </c>
      <c r="N1096" s="59" t="s">
        <v>96</v>
      </c>
      <c r="O1096" s="61" t="s">
        <v>927</v>
      </c>
    </row>
    <row r="1097" spans="1:15" ht="60" x14ac:dyDescent="0.25">
      <c r="A1097">
        <v>9442</v>
      </c>
      <c r="B1097">
        <v>12</v>
      </c>
      <c r="C1097" s="56" t="s">
        <v>314</v>
      </c>
      <c r="D1097">
        <v>2017</v>
      </c>
      <c r="E1097">
        <v>19</v>
      </c>
      <c r="F1097" s="57">
        <v>57.93</v>
      </c>
      <c r="G1097">
        <v>14</v>
      </c>
      <c r="H1097" s="58">
        <v>-28.544799999999999</v>
      </c>
      <c r="I1097" s="57">
        <v>25.363900000000001</v>
      </c>
      <c r="J1097" s="58" t="s">
        <v>1</v>
      </c>
      <c r="K1097">
        <v>3.8</v>
      </c>
      <c r="L1097" s="26"/>
      <c r="M1097" s="58">
        <v>55</v>
      </c>
      <c r="N1097" s="59" t="s">
        <v>6</v>
      </c>
      <c r="O1097" s="64" t="s">
        <v>789</v>
      </c>
    </row>
    <row r="1098" spans="1:15" ht="45" x14ac:dyDescent="0.25">
      <c r="A1098">
        <v>9443</v>
      </c>
      <c r="B1098">
        <v>13</v>
      </c>
      <c r="C1098" s="56" t="s">
        <v>314</v>
      </c>
      <c r="D1098">
        <v>2017</v>
      </c>
      <c r="E1098">
        <v>46</v>
      </c>
      <c r="F1098" s="57">
        <v>47.53</v>
      </c>
      <c r="G1098">
        <v>2</v>
      </c>
      <c r="H1098" s="58">
        <v>6.7445000000000004</v>
      </c>
      <c r="I1098" s="57">
        <v>-6.3103999999999996</v>
      </c>
      <c r="J1098" s="58" t="s">
        <v>1</v>
      </c>
      <c r="K1098">
        <v>4.2</v>
      </c>
      <c r="L1098" s="26"/>
      <c r="M1098" s="58">
        <v>178</v>
      </c>
      <c r="N1098" s="59" t="s">
        <v>15</v>
      </c>
      <c r="O1098" s="65" t="s">
        <v>928</v>
      </c>
    </row>
    <row r="1099" spans="1:15" x14ac:dyDescent="0.25">
      <c r="A1099">
        <v>9444</v>
      </c>
      <c r="B1099">
        <v>13</v>
      </c>
      <c r="C1099" s="56" t="s">
        <v>314</v>
      </c>
      <c r="D1099">
        <v>2017</v>
      </c>
      <c r="E1099">
        <v>24</v>
      </c>
      <c r="F1099" s="57">
        <v>55.97</v>
      </c>
      <c r="G1099">
        <v>19</v>
      </c>
      <c r="H1099" s="58">
        <v>36.110500000000002</v>
      </c>
      <c r="I1099" s="57">
        <v>8.2443000000000008</v>
      </c>
      <c r="J1099" s="58" t="s">
        <v>1</v>
      </c>
      <c r="K1099">
        <v>4</v>
      </c>
      <c r="L1099" s="26"/>
      <c r="M1099" s="58">
        <v>29</v>
      </c>
      <c r="N1099" s="59" t="s">
        <v>777</v>
      </c>
      <c r="O1099" s="64" t="s">
        <v>778</v>
      </c>
    </row>
    <row r="1100" spans="1:15" ht="45" x14ac:dyDescent="0.25">
      <c r="A1100">
        <v>9445</v>
      </c>
      <c r="B1100">
        <v>13</v>
      </c>
      <c r="C1100" s="56" t="s">
        <v>314</v>
      </c>
      <c r="D1100">
        <v>2017</v>
      </c>
      <c r="E1100">
        <v>36</v>
      </c>
      <c r="F1100" s="57">
        <v>29.19</v>
      </c>
      <c r="G1100">
        <v>20</v>
      </c>
      <c r="H1100" s="58">
        <v>29.292200000000001</v>
      </c>
      <c r="I1100" s="57">
        <v>-3.7999999999999999E-2</v>
      </c>
      <c r="J1100" s="58" t="s">
        <v>1</v>
      </c>
      <c r="K1100">
        <v>3.9</v>
      </c>
      <c r="L1100" s="26"/>
      <c r="M1100" s="58">
        <v>87</v>
      </c>
      <c r="N1100" s="59" t="s">
        <v>10</v>
      </c>
      <c r="O1100" s="64" t="s">
        <v>929</v>
      </c>
    </row>
    <row r="1101" spans="1:15" ht="60" x14ac:dyDescent="0.25">
      <c r="A1101">
        <v>9446</v>
      </c>
      <c r="B1101">
        <v>14</v>
      </c>
      <c r="C1101" s="56" t="s">
        <v>314</v>
      </c>
      <c r="D1101">
        <v>2017</v>
      </c>
      <c r="E1101">
        <v>28</v>
      </c>
      <c r="F1101" s="57">
        <v>13.46</v>
      </c>
      <c r="G1101">
        <v>0</v>
      </c>
      <c r="H1101" s="58">
        <v>-28.530899999999999</v>
      </c>
      <c r="I1101" s="57">
        <v>25.312899999999999</v>
      </c>
      <c r="J1101" s="58" t="s">
        <v>1</v>
      </c>
      <c r="K1101">
        <v>4.2</v>
      </c>
      <c r="L1101" s="26"/>
      <c r="M1101" s="58">
        <v>32</v>
      </c>
      <c r="N1101" s="59" t="s">
        <v>6</v>
      </c>
      <c r="O1101" s="64" t="s">
        <v>789</v>
      </c>
    </row>
    <row r="1102" spans="1:15" ht="45" x14ac:dyDescent="0.25">
      <c r="A1102">
        <v>9447</v>
      </c>
      <c r="B1102">
        <v>15</v>
      </c>
      <c r="C1102" s="56" t="s">
        <v>314</v>
      </c>
      <c r="D1102">
        <v>2017</v>
      </c>
      <c r="E1102">
        <v>49</v>
      </c>
      <c r="F1102" s="57">
        <v>27.71</v>
      </c>
      <c r="G1102">
        <v>5</v>
      </c>
      <c r="H1102" s="58">
        <v>14.372299999999999</v>
      </c>
      <c r="I1102" s="57">
        <v>8.8153000000000006</v>
      </c>
      <c r="J1102" s="58" t="s">
        <v>1</v>
      </c>
      <c r="K1102">
        <v>4</v>
      </c>
      <c r="L1102" s="26"/>
      <c r="M1102" s="58">
        <v>114</v>
      </c>
      <c r="N1102" s="59" t="s">
        <v>15</v>
      </c>
      <c r="O1102" s="61" t="s">
        <v>930</v>
      </c>
    </row>
    <row r="1103" spans="1:15" ht="45" x14ac:dyDescent="0.25">
      <c r="A1103">
        <v>9448</v>
      </c>
      <c r="B1103">
        <v>16</v>
      </c>
      <c r="C1103" s="56" t="s">
        <v>314</v>
      </c>
      <c r="D1103">
        <v>2017</v>
      </c>
      <c r="E1103">
        <v>9</v>
      </c>
      <c r="F1103" s="57">
        <v>33.76</v>
      </c>
      <c r="G1103">
        <v>2</v>
      </c>
      <c r="H1103" s="58">
        <v>36.209099999999999</v>
      </c>
      <c r="I1103" s="57">
        <v>1.1398999999999999</v>
      </c>
      <c r="J1103" s="58" t="s">
        <v>1</v>
      </c>
      <c r="K1103">
        <v>3.5</v>
      </c>
      <c r="L1103" s="26">
        <v>4.2</v>
      </c>
      <c r="M1103" s="58">
        <v>54</v>
      </c>
      <c r="N1103" s="59" t="s">
        <v>10</v>
      </c>
      <c r="O1103" s="64" t="s">
        <v>931</v>
      </c>
    </row>
    <row r="1104" spans="1:15" ht="60" x14ac:dyDescent="0.25">
      <c r="A1104">
        <v>9449</v>
      </c>
      <c r="B1104">
        <v>16</v>
      </c>
      <c r="C1104" s="56" t="s">
        <v>314</v>
      </c>
      <c r="D1104">
        <v>2017</v>
      </c>
      <c r="E1104">
        <v>14</v>
      </c>
      <c r="F1104" s="57">
        <v>11.42</v>
      </c>
      <c r="G1104">
        <v>9</v>
      </c>
      <c r="H1104" s="58">
        <v>11.909800000000001</v>
      </c>
      <c r="I1104" s="57">
        <v>1.0741000000000001</v>
      </c>
      <c r="J1104" s="58" t="s">
        <v>1</v>
      </c>
      <c r="K1104">
        <v>4.5</v>
      </c>
      <c r="L1104" s="26"/>
      <c r="M1104" s="58">
        <v>53</v>
      </c>
      <c r="N1104" s="59" t="s">
        <v>15</v>
      </c>
      <c r="O1104" s="61" t="s">
        <v>647</v>
      </c>
    </row>
    <row r="1105" spans="1:15" ht="60" x14ac:dyDescent="0.25">
      <c r="A1105">
        <v>9450</v>
      </c>
      <c r="B1105">
        <v>16</v>
      </c>
      <c r="C1105" s="56" t="s">
        <v>314</v>
      </c>
      <c r="D1105">
        <v>2017</v>
      </c>
      <c r="E1105">
        <v>35</v>
      </c>
      <c r="F1105" s="57">
        <v>54.61</v>
      </c>
      <c r="G1105">
        <v>12</v>
      </c>
      <c r="H1105" s="58">
        <v>5.1592000000000002</v>
      </c>
      <c r="I1105" s="57">
        <v>-5.3505000000000003</v>
      </c>
      <c r="J1105" s="58" t="s">
        <v>1</v>
      </c>
      <c r="K1105">
        <v>4.4000000000000004</v>
      </c>
      <c r="L1105" s="26">
        <v>2.6</v>
      </c>
      <c r="M1105" s="58">
        <v>107</v>
      </c>
      <c r="N1105" s="59" t="s">
        <v>15</v>
      </c>
      <c r="O1105" s="61" t="s">
        <v>932</v>
      </c>
    </row>
    <row r="1106" spans="1:15" ht="45" x14ac:dyDescent="0.25">
      <c r="A1106">
        <v>9451</v>
      </c>
      <c r="B1106">
        <v>16</v>
      </c>
      <c r="C1106" s="56" t="s">
        <v>314</v>
      </c>
      <c r="D1106">
        <v>2017</v>
      </c>
      <c r="E1106">
        <v>1</v>
      </c>
      <c r="F1106" s="57">
        <v>11.18</v>
      </c>
      <c r="G1106">
        <v>13</v>
      </c>
      <c r="H1106" s="58">
        <v>13.102499999999999</v>
      </c>
      <c r="I1106" s="57">
        <v>1.3773</v>
      </c>
      <c r="J1106" s="58" t="s">
        <v>1</v>
      </c>
      <c r="K1106">
        <v>4.3</v>
      </c>
      <c r="L1106" s="26"/>
      <c r="M1106" s="58">
        <v>85</v>
      </c>
      <c r="N1106" s="59" t="s">
        <v>15</v>
      </c>
      <c r="O1106" s="61" t="s">
        <v>50</v>
      </c>
    </row>
    <row r="1107" spans="1:15" ht="30" x14ac:dyDescent="0.25">
      <c r="A1107">
        <v>9452</v>
      </c>
      <c r="B1107">
        <v>16</v>
      </c>
      <c r="C1107" s="56" t="s">
        <v>314</v>
      </c>
      <c r="D1107">
        <v>2017</v>
      </c>
      <c r="E1107">
        <v>20</v>
      </c>
      <c r="F1107" s="57">
        <v>6.75</v>
      </c>
      <c r="G1107">
        <v>14</v>
      </c>
      <c r="H1107" s="58">
        <v>37.089599999999997</v>
      </c>
      <c r="I1107" s="57">
        <v>9.2281999999999993</v>
      </c>
      <c r="J1107" s="58" t="s">
        <v>1</v>
      </c>
      <c r="L1107" s="26">
        <v>4.3</v>
      </c>
      <c r="M1107" s="58">
        <v>99</v>
      </c>
      <c r="N1107" s="59" t="s">
        <v>2</v>
      </c>
      <c r="O1107" s="61" t="s">
        <v>933</v>
      </c>
    </row>
    <row r="1108" spans="1:15" ht="60" x14ac:dyDescent="0.25">
      <c r="A1108">
        <v>9453</v>
      </c>
      <c r="B1108">
        <v>17</v>
      </c>
      <c r="C1108" s="56" t="s">
        <v>314</v>
      </c>
      <c r="D1108">
        <v>2017</v>
      </c>
      <c r="E1108">
        <v>45</v>
      </c>
      <c r="F1108" s="57">
        <v>36.4</v>
      </c>
      <c r="G1108">
        <v>2</v>
      </c>
      <c r="H1108" s="58">
        <v>-29.677</v>
      </c>
      <c r="I1108" s="57">
        <v>26.593900000000001</v>
      </c>
      <c r="J1108" s="58" t="s">
        <v>1</v>
      </c>
      <c r="K1108">
        <v>4.2</v>
      </c>
      <c r="L1108" s="26"/>
      <c r="M1108" s="58">
        <v>38</v>
      </c>
      <c r="N1108" s="59" t="s">
        <v>6</v>
      </c>
      <c r="O1108" s="61" t="s">
        <v>934</v>
      </c>
    </row>
    <row r="1109" spans="1:15" ht="30" x14ac:dyDescent="0.25">
      <c r="A1109">
        <v>9454</v>
      </c>
      <c r="B1109">
        <v>17</v>
      </c>
      <c r="C1109" s="56" t="s">
        <v>314</v>
      </c>
      <c r="D1109">
        <v>2017</v>
      </c>
      <c r="E1109">
        <v>40</v>
      </c>
      <c r="F1109" s="57">
        <v>57.45</v>
      </c>
      <c r="G1109">
        <v>16</v>
      </c>
      <c r="H1109" s="58">
        <v>33.854999999999997</v>
      </c>
      <c r="I1109" s="57">
        <v>-2.9199000000000002</v>
      </c>
      <c r="J1109" s="58" t="s">
        <v>1</v>
      </c>
      <c r="K1109">
        <v>3.7</v>
      </c>
      <c r="L1109" s="26">
        <v>3.5</v>
      </c>
      <c r="M1109" s="58">
        <v>139</v>
      </c>
      <c r="N1109" s="59" t="s">
        <v>28</v>
      </c>
      <c r="O1109" s="64" t="s">
        <v>935</v>
      </c>
    </row>
    <row r="1110" spans="1:15" ht="60" x14ac:dyDescent="0.25">
      <c r="A1110">
        <v>9455</v>
      </c>
      <c r="B1110">
        <v>17</v>
      </c>
      <c r="C1110" s="56" t="s">
        <v>314</v>
      </c>
      <c r="D1110">
        <v>2017</v>
      </c>
      <c r="E1110">
        <v>25</v>
      </c>
      <c r="F1110" s="57">
        <v>38.479999999999997</v>
      </c>
      <c r="G1110">
        <v>19</v>
      </c>
      <c r="H1110" s="58">
        <v>-26.906700000000001</v>
      </c>
      <c r="I1110" s="57">
        <v>29.0518</v>
      </c>
      <c r="J1110" s="58" t="s">
        <v>1</v>
      </c>
      <c r="K1110">
        <v>3.9</v>
      </c>
      <c r="L1110" s="26">
        <v>3.3</v>
      </c>
      <c r="M1110" s="58">
        <v>132</v>
      </c>
      <c r="N1110" s="59" t="s">
        <v>6</v>
      </c>
      <c r="O1110" s="61" t="s">
        <v>936</v>
      </c>
    </row>
    <row r="1111" spans="1:15" ht="45" x14ac:dyDescent="0.25">
      <c r="A1111">
        <v>9456</v>
      </c>
      <c r="B1111">
        <v>18</v>
      </c>
      <c r="C1111" s="56" t="s">
        <v>314</v>
      </c>
      <c r="D1111">
        <v>2017</v>
      </c>
      <c r="E1111">
        <v>5</v>
      </c>
      <c r="F1111" s="57">
        <v>46.26</v>
      </c>
      <c r="G1111">
        <v>15</v>
      </c>
      <c r="H1111" s="58">
        <v>11.493600000000001</v>
      </c>
      <c r="I1111" s="57">
        <v>-3.2490000000000001</v>
      </c>
      <c r="J1111" s="58" t="s">
        <v>1</v>
      </c>
      <c r="L1111" s="26">
        <v>2.2999999999999998</v>
      </c>
      <c r="M1111" s="58">
        <v>135</v>
      </c>
      <c r="N1111" s="59" t="s">
        <v>15</v>
      </c>
      <c r="O1111" s="61" t="s">
        <v>937</v>
      </c>
    </row>
    <row r="1112" spans="1:15" ht="45" x14ac:dyDescent="0.25">
      <c r="A1112">
        <v>9457</v>
      </c>
      <c r="B1112">
        <v>18</v>
      </c>
      <c r="C1112" s="56" t="s">
        <v>314</v>
      </c>
      <c r="D1112">
        <v>2017</v>
      </c>
      <c r="E1112">
        <v>26</v>
      </c>
      <c r="F1112" s="57">
        <v>38.58</v>
      </c>
      <c r="G1112">
        <v>17</v>
      </c>
      <c r="H1112" s="58">
        <v>6.8487</v>
      </c>
      <c r="I1112" s="57">
        <v>-2.6865999999999999</v>
      </c>
      <c r="J1112" s="58" t="s">
        <v>1</v>
      </c>
      <c r="L1112" s="26">
        <v>4.2</v>
      </c>
      <c r="M1112" s="58">
        <v>4</v>
      </c>
      <c r="N1112" s="59" t="s">
        <v>15</v>
      </c>
      <c r="O1112" s="61" t="s">
        <v>938</v>
      </c>
    </row>
    <row r="1113" spans="1:15" ht="30" x14ac:dyDescent="0.25">
      <c r="A1113">
        <v>9458</v>
      </c>
      <c r="B1113">
        <v>20</v>
      </c>
      <c r="C1113" s="56" t="s">
        <v>314</v>
      </c>
      <c r="D1113">
        <v>2017</v>
      </c>
      <c r="E1113">
        <v>44</v>
      </c>
      <c r="F1113" s="57">
        <v>12.44</v>
      </c>
      <c r="G1113">
        <v>10</v>
      </c>
      <c r="H1113" s="58">
        <v>-26.227699999999999</v>
      </c>
      <c r="I1113" s="57">
        <v>32.614199999999997</v>
      </c>
      <c r="J1113" s="58" t="s">
        <v>1</v>
      </c>
      <c r="K1113">
        <v>4.4000000000000004</v>
      </c>
      <c r="L1113" s="26">
        <v>3.6</v>
      </c>
      <c r="M1113" s="58">
        <v>171</v>
      </c>
      <c r="N1113" s="59" t="s">
        <v>26</v>
      </c>
      <c r="O1113" s="64" t="s">
        <v>939</v>
      </c>
    </row>
    <row r="1114" spans="1:15" ht="45" x14ac:dyDescent="0.25">
      <c r="A1114">
        <v>9459</v>
      </c>
      <c r="B1114">
        <v>20</v>
      </c>
      <c r="C1114" s="56" t="s">
        <v>314</v>
      </c>
      <c r="D1114">
        <v>2017</v>
      </c>
      <c r="E1114">
        <v>47</v>
      </c>
      <c r="F1114" s="57">
        <v>21.14</v>
      </c>
      <c r="G1114">
        <v>13</v>
      </c>
      <c r="H1114" s="58">
        <v>4.0435999999999996</v>
      </c>
      <c r="I1114" s="57">
        <v>5.1825000000000001</v>
      </c>
      <c r="J1114" s="58" t="s">
        <v>1</v>
      </c>
      <c r="K1114">
        <v>4.5</v>
      </c>
      <c r="L1114" s="26">
        <v>3.1</v>
      </c>
      <c r="M1114" s="58">
        <v>16</v>
      </c>
      <c r="N1114" s="59" t="s">
        <v>15</v>
      </c>
      <c r="O1114" s="61" t="s">
        <v>940</v>
      </c>
    </row>
    <row r="1115" spans="1:15" ht="60" x14ac:dyDescent="0.25">
      <c r="A1115">
        <v>9460</v>
      </c>
      <c r="B1115">
        <v>21</v>
      </c>
      <c r="C1115" s="56" t="s">
        <v>314</v>
      </c>
      <c r="D1115">
        <v>2017</v>
      </c>
      <c r="E1115">
        <v>41</v>
      </c>
      <c r="F1115" s="57">
        <v>37.64</v>
      </c>
      <c r="G1115">
        <v>1</v>
      </c>
      <c r="H1115" s="58">
        <v>-28.8827</v>
      </c>
      <c r="I1115" s="57">
        <v>23.143799999999999</v>
      </c>
      <c r="J1115" s="58" t="s">
        <v>1</v>
      </c>
      <c r="K1115">
        <v>4.3</v>
      </c>
      <c r="L1115" s="26"/>
      <c r="M1115" s="58">
        <v>179</v>
      </c>
      <c r="N1115" s="59" t="s">
        <v>6</v>
      </c>
      <c r="O1115" s="61" t="s">
        <v>588</v>
      </c>
    </row>
    <row r="1116" spans="1:15" ht="60" x14ac:dyDescent="0.25">
      <c r="A1116">
        <v>9461</v>
      </c>
      <c r="B1116">
        <v>21</v>
      </c>
      <c r="C1116" s="56" t="s">
        <v>314</v>
      </c>
      <c r="D1116">
        <v>2017</v>
      </c>
      <c r="E1116">
        <v>21</v>
      </c>
      <c r="F1116" s="57">
        <v>29.52</v>
      </c>
      <c r="G1116">
        <v>14</v>
      </c>
      <c r="H1116" s="58">
        <v>-28.508900000000001</v>
      </c>
      <c r="I1116" s="57">
        <v>25.184000000000001</v>
      </c>
      <c r="J1116" s="58" t="s">
        <v>1</v>
      </c>
      <c r="K1116">
        <v>4</v>
      </c>
      <c r="L1116" s="26"/>
      <c r="M1116" s="58">
        <v>148</v>
      </c>
      <c r="N1116" s="59" t="s">
        <v>6</v>
      </c>
      <c r="O1116" s="61" t="s">
        <v>941</v>
      </c>
    </row>
    <row r="1117" spans="1:15" ht="90" x14ac:dyDescent="0.25">
      <c r="A1117">
        <v>9462</v>
      </c>
      <c r="B1117">
        <v>21</v>
      </c>
      <c r="C1117" s="56" t="s">
        <v>314</v>
      </c>
      <c r="D1117">
        <v>2017</v>
      </c>
      <c r="E1117">
        <v>47</v>
      </c>
      <c r="F1117" s="57">
        <v>56.36</v>
      </c>
      <c r="G1117">
        <v>23</v>
      </c>
      <c r="H1117" s="58">
        <v>-26.7683</v>
      </c>
      <c r="I1117" s="57">
        <v>26.3155</v>
      </c>
      <c r="J1117" s="58" t="s">
        <v>1</v>
      </c>
      <c r="K1117">
        <v>3.6</v>
      </c>
      <c r="L1117" s="26">
        <v>3.7</v>
      </c>
      <c r="M1117" s="58">
        <v>106</v>
      </c>
      <c r="N1117" s="59" t="s">
        <v>6</v>
      </c>
      <c r="O1117" s="61" t="s">
        <v>942</v>
      </c>
    </row>
    <row r="1118" spans="1:15" ht="60" x14ac:dyDescent="0.25">
      <c r="A1118">
        <v>9463</v>
      </c>
      <c r="B1118">
        <v>22</v>
      </c>
      <c r="C1118" s="56" t="s">
        <v>314</v>
      </c>
      <c r="D1118">
        <v>2017</v>
      </c>
      <c r="E1118">
        <v>0</v>
      </c>
      <c r="F1118" s="57">
        <v>24.64</v>
      </c>
      <c r="G1118">
        <v>4</v>
      </c>
      <c r="H1118" s="58">
        <v>36.04</v>
      </c>
      <c r="I1118" s="57">
        <v>8.5784000000000002</v>
      </c>
      <c r="J1118" s="58" t="s">
        <v>1</v>
      </c>
      <c r="K1118">
        <v>4.0999999999999996</v>
      </c>
      <c r="L1118" s="26"/>
      <c r="M1118" s="58">
        <v>126</v>
      </c>
      <c r="N1118" s="59" t="s">
        <v>2</v>
      </c>
      <c r="O1118" s="61" t="s">
        <v>943</v>
      </c>
    </row>
    <row r="1119" spans="1:15" ht="90" x14ac:dyDescent="0.25">
      <c r="A1119">
        <v>9464</v>
      </c>
      <c r="B1119">
        <v>22</v>
      </c>
      <c r="C1119" s="56" t="s">
        <v>314</v>
      </c>
      <c r="D1119">
        <v>2017</v>
      </c>
      <c r="E1119">
        <v>5</v>
      </c>
      <c r="F1119" s="57">
        <v>11.68</v>
      </c>
      <c r="G1119">
        <v>6</v>
      </c>
      <c r="H1119" s="58">
        <v>-6.1391</v>
      </c>
      <c r="I1119" s="57">
        <v>30.617000000000001</v>
      </c>
      <c r="J1119" s="58" t="s">
        <v>1</v>
      </c>
      <c r="K1119">
        <v>4.5999999999999996</v>
      </c>
      <c r="L1119" s="26"/>
      <c r="M1119" s="58">
        <v>99</v>
      </c>
      <c r="N1119" s="59" t="s">
        <v>944</v>
      </c>
      <c r="O1119" s="61" t="s">
        <v>945</v>
      </c>
    </row>
    <row r="1120" spans="1:15" ht="90" x14ac:dyDescent="0.25">
      <c r="A1120">
        <v>9465</v>
      </c>
      <c r="B1120">
        <v>22</v>
      </c>
      <c r="C1120" s="56" t="s">
        <v>314</v>
      </c>
      <c r="D1120">
        <v>2017</v>
      </c>
      <c r="E1120">
        <v>13</v>
      </c>
      <c r="F1120" s="57">
        <v>45.82</v>
      </c>
      <c r="G1120">
        <v>22</v>
      </c>
      <c r="H1120" s="58">
        <v>6.8362999999999996</v>
      </c>
      <c r="I1120" s="57">
        <v>-2.2216999999999998</v>
      </c>
      <c r="J1120" s="58" t="s">
        <v>1</v>
      </c>
      <c r="L1120" s="26">
        <v>1.6</v>
      </c>
      <c r="M1120" s="58">
        <v>150</v>
      </c>
      <c r="N1120" s="59" t="s">
        <v>15</v>
      </c>
      <c r="O1120" s="61" t="s">
        <v>946</v>
      </c>
    </row>
    <row r="1121" spans="1:15" ht="135" x14ac:dyDescent="0.25">
      <c r="A1121">
        <v>9466</v>
      </c>
      <c r="B1121" s="66">
        <v>22</v>
      </c>
      <c r="C1121" s="56" t="s">
        <v>314</v>
      </c>
      <c r="D1121">
        <v>2017</v>
      </c>
      <c r="E1121" s="66">
        <v>46</v>
      </c>
      <c r="F1121" s="67">
        <v>26.1</v>
      </c>
      <c r="G1121" s="66">
        <v>22</v>
      </c>
      <c r="H1121" s="68">
        <v>25.130800000000001</v>
      </c>
      <c r="I1121" s="67">
        <v>26.957999999999998</v>
      </c>
      <c r="J1121" s="68" t="s">
        <v>1</v>
      </c>
      <c r="K1121" s="66">
        <v>4</v>
      </c>
      <c r="L1121" s="47"/>
      <c r="M1121" s="68">
        <v>99</v>
      </c>
      <c r="N1121" s="69" t="s">
        <v>72</v>
      </c>
      <c r="O1121" s="70" t="s">
        <v>947</v>
      </c>
    </row>
    <row r="1122" spans="1:15" ht="60" x14ac:dyDescent="0.25">
      <c r="A1122">
        <v>9467</v>
      </c>
      <c r="B1122">
        <v>23</v>
      </c>
      <c r="C1122" s="56" t="s">
        <v>314</v>
      </c>
      <c r="D1122">
        <v>2017</v>
      </c>
      <c r="E1122">
        <v>31</v>
      </c>
      <c r="F1122" s="57">
        <v>8.18</v>
      </c>
      <c r="G1122">
        <v>0</v>
      </c>
      <c r="H1122" s="58">
        <v>15.144</v>
      </c>
      <c r="I1122" s="57">
        <v>7.7180999999999997</v>
      </c>
      <c r="J1122" s="58" t="s">
        <v>1</v>
      </c>
      <c r="K1122">
        <v>3.8</v>
      </c>
      <c r="L1122" s="26">
        <v>3.2</v>
      </c>
      <c r="M1122" s="58">
        <v>133</v>
      </c>
      <c r="N1122" s="59" t="s">
        <v>15</v>
      </c>
      <c r="O1122" s="61" t="s">
        <v>948</v>
      </c>
    </row>
    <row r="1123" spans="1:15" ht="90" x14ac:dyDescent="0.25">
      <c r="A1123">
        <v>9468</v>
      </c>
      <c r="B1123">
        <v>23</v>
      </c>
      <c r="C1123" s="56" t="s">
        <v>314</v>
      </c>
      <c r="D1123">
        <v>2017</v>
      </c>
      <c r="E1123">
        <v>42</v>
      </c>
      <c r="F1123" s="57">
        <v>53.09</v>
      </c>
      <c r="G1123">
        <v>7</v>
      </c>
      <c r="H1123" s="58">
        <v>-26.429200000000002</v>
      </c>
      <c r="I1123" s="57">
        <v>27.3933</v>
      </c>
      <c r="J1123" s="58" t="s">
        <v>1</v>
      </c>
      <c r="K1123">
        <v>3.6</v>
      </c>
      <c r="L1123" s="26">
        <v>3.2</v>
      </c>
      <c r="M1123" s="58">
        <v>115</v>
      </c>
      <c r="N1123" s="59" t="s">
        <v>6</v>
      </c>
      <c r="O1123" s="61" t="s">
        <v>949</v>
      </c>
    </row>
    <row r="1124" spans="1:15" ht="90" x14ac:dyDescent="0.25">
      <c r="A1124">
        <v>9469</v>
      </c>
      <c r="B1124">
        <v>23</v>
      </c>
      <c r="C1124" s="56" t="s">
        <v>314</v>
      </c>
      <c r="D1124">
        <v>2017</v>
      </c>
      <c r="E1124">
        <v>53</v>
      </c>
      <c r="F1124" s="57">
        <v>19.41</v>
      </c>
      <c r="G1124">
        <v>12</v>
      </c>
      <c r="H1124" s="58">
        <v>-26.949000000000002</v>
      </c>
      <c r="I1124" s="57">
        <v>21.936599999999999</v>
      </c>
      <c r="J1124" s="58" t="s">
        <v>1</v>
      </c>
      <c r="K1124">
        <v>4.4000000000000004</v>
      </c>
      <c r="L1124" s="26"/>
      <c r="M1124" s="58">
        <v>13</v>
      </c>
      <c r="N1124" s="59" t="s">
        <v>854</v>
      </c>
      <c r="O1124" s="61" t="s">
        <v>950</v>
      </c>
    </row>
    <row r="1125" spans="1:15" ht="90" x14ac:dyDescent="0.25">
      <c r="A1125">
        <v>9470</v>
      </c>
      <c r="B1125">
        <v>24</v>
      </c>
      <c r="C1125" s="56" t="s">
        <v>314</v>
      </c>
      <c r="D1125">
        <v>2017</v>
      </c>
      <c r="E1125">
        <v>32</v>
      </c>
      <c r="F1125" s="57">
        <v>44.27</v>
      </c>
      <c r="G1125">
        <v>13</v>
      </c>
      <c r="H1125" s="58">
        <v>-23.9758</v>
      </c>
      <c r="I1125" s="57">
        <v>30.0198</v>
      </c>
      <c r="J1125" s="58" t="s">
        <v>1</v>
      </c>
      <c r="K1125">
        <v>4</v>
      </c>
      <c r="L1125" s="26">
        <v>3.6</v>
      </c>
      <c r="M1125" s="58">
        <v>128</v>
      </c>
      <c r="N1125" s="59" t="s">
        <v>6</v>
      </c>
      <c r="O1125" s="61" t="s">
        <v>951</v>
      </c>
    </row>
    <row r="1126" spans="1:15" ht="60" x14ac:dyDescent="0.25">
      <c r="A1126">
        <v>9471</v>
      </c>
      <c r="B1126">
        <v>24</v>
      </c>
      <c r="C1126" s="56" t="s">
        <v>314</v>
      </c>
      <c r="D1126">
        <v>2017</v>
      </c>
      <c r="E1126">
        <v>41</v>
      </c>
      <c r="F1126" s="57">
        <v>29.08</v>
      </c>
      <c r="G1126">
        <v>15</v>
      </c>
      <c r="H1126" s="58">
        <v>-29.0459</v>
      </c>
      <c r="I1126" s="57">
        <v>25.619199999999999</v>
      </c>
      <c r="J1126" s="58" t="s">
        <v>1</v>
      </c>
      <c r="K1126">
        <v>4.2</v>
      </c>
      <c r="L1126" s="26"/>
      <c r="M1126" s="58">
        <v>66</v>
      </c>
      <c r="N1126" s="59" t="s">
        <v>6</v>
      </c>
      <c r="O1126" s="61" t="s">
        <v>34</v>
      </c>
    </row>
    <row r="1127" spans="1:15" ht="45" x14ac:dyDescent="0.25">
      <c r="A1127">
        <v>9472</v>
      </c>
      <c r="B1127">
        <v>26</v>
      </c>
      <c r="C1127" s="56" t="s">
        <v>314</v>
      </c>
      <c r="D1127">
        <v>2017</v>
      </c>
      <c r="E1127">
        <v>46</v>
      </c>
      <c r="F1127" s="57">
        <v>29.13</v>
      </c>
      <c r="G1127">
        <v>13</v>
      </c>
      <c r="H1127" s="58">
        <v>27.776700000000002</v>
      </c>
      <c r="I1127" s="57">
        <v>6.3263999999999996</v>
      </c>
      <c r="J1127" s="58" t="s">
        <v>1</v>
      </c>
      <c r="K1127">
        <v>4.0999999999999996</v>
      </c>
      <c r="L1127" s="26">
        <v>2.9</v>
      </c>
      <c r="M1127" s="58">
        <v>110</v>
      </c>
      <c r="N1127" s="59" t="s">
        <v>110</v>
      </c>
      <c r="O1127" s="61" t="s">
        <v>123</v>
      </c>
    </row>
    <row r="1128" spans="1:15" ht="45" x14ac:dyDescent="0.25">
      <c r="A1128">
        <v>9473</v>
      </c>
      <c r="B1128">
        <v>28</v>
      </c>
      <c r="C1128" s="56" t="s">
        <v>314</v>
      </c>
      <c r="D1128">
        <v>2017</v>
      </c>
      <c r="E1128">
        <v>32</v>
      </c>
      <c r="F1128" s="57">
        <v>28.47</v>
      </c>
      <c r="G1128">
        <v>8</v>
      </c>
      <c r="H1128" s="58">
        <v>-27.342199999999998</v>
      </c>
      <c r="I1128" s="57">
        <v>58.4328</v>
      </c>
      <c r="J1128" s="58" t="s">
        <v>1</v>
      </c>
      <c r="K1128">
        <v>4.4000000000000004</v>
      </c>
      <c r="L1128" s="26"/>
      <c r="M1128" s="58">
        <v>68</v>
      </c>
      <c r="N1128" s="59" t="s">
        <v>952</v>
      </c>
      <c r="O1128" s="61" t="s">
        <v>953</v>
      </c>
    </row>
    <row r="1129" spans="1:15" ht="45" x14ac:dyDescent="0.25">
      <c r="A1129">
        <v>9474</v>
      </c>
      <c r="B1129">
        <v>28</v>
      </c>
      <c r="C1129" s="56" t="s">
        <v>314</v>
      </c>
      <c r="D1129">
        <v>2017</v>
      </c>
      <c r="E1129">
        <v>28</v>
      </c>
      <c r="F1129" s="57">
        <v>38.26</v>
      </c>
      <c r="G1129">
        <v>9</v>
      </c>
      <c r="H1129" s="58">
        <v>10.1335</v>
      </c>
      <c r="I1129" s="57">
        <v>50.192700000000002</v>
      </c>
      <c r="J1129" s="58" t="s">
        <v>1</v>
      </c>
      <c r="K1129">
        <v>4</v>
      </c>
      <c r="L1129" s="26"/>
      <c r="M1129" s="58">
        <v>23</v>
      </c>
      <c r="N1129" s="59" t="s">
        <v>954</v>
      </c>
      <c r="O1129" s="61" t="s">
        <v>955</v>
      </c>
    </row>
    <row r="1130" spans="1:15" ht="60" x14ac:dyDescent="0.25">
      <c r="A1130">
        <v>9475</v>
      </c>
      <c r="B1130">
        <v>29</v>
      </c>
      <c r="C1130" s="56" t="s">
        <v>314</v>
      </c>
      <c r="D1130">
        <v>2017</v>
      </c>
      <c r="E1130">
        <v>36</v>
      </c>
      <c r="F1130" s="57">
        <v>33</v>
      </c>
      <c r="G1130">
        <v>17</v>
      </c>
      <c r="H1130" s="58">
        <v>-30.4054</v>
      </c>
      <c r="I1130" s="57">
        <v>20.231400000000001</v>
      </c>
      <c r="J1130" s="58" t="s">
        <v>1</v>
      </c>
      <c r="K1130">
        <v>4.0999999999999996</v>
      </c>
      <c r="L1130" s="26">
        <v>2.1</v>
      </c>
      <c r="M1130" s="58">
        <v>157</v>
      </c>
      <c r="N1130" s="59" t="s">
        <v>6</v>
      </c>
      <c r="O1130" s="61" t="s">
        <v>956</v>
      </c>
    </row>
    <row r="1131" spans="1:15" ht="75" x14ac:dyDescent="0.25">
      <c r="A1131">
        <v>9476</v>
      </c>
      <c r="B1131">
        <v>29</v>
      </c>
      <c r="C1131" s="56" t="s">
        <v>314</v>
      </c>
      <c r="D1131">
        <v>2017</v>
      </c>
      <c r="E1131">
        <v>51</v>
      </c>
      <c r="F1131" s="57">
        <v>53.62</v>
      </c>
      <c r="G1131">
        <v>22</v>
      </c>
      <c r="H1131" s="58">
        <v>8.5175000000000001</v>
      </c>
      <c r="I1131" s="57">
        <v>25.777799999999999</v>
      </c>
      <c r="J1131" s="58" t="s">
        <v>1</v>
      </c>
      <c r="K1131">
        <v>4.4000000000000004</v>
      </c>
      <c r="L1131" s="26"/>
      <c r="M1131" s="58">
        <v>87</v>
      </c>
      <c r="N1131" s="59" t="s">
        <v>117</v>
      </c>
      <c r="O1131" s="61" t="s">
        <v>957</v>
      </c>
    </row>
    <row r="1132" spans="1:15" ht="30" x14ac:dyDescent="0.25">
      <c r="A1132">
        <v>9477</v>
      </c>
      <c r="B1132">
        <v>30</v>
      </c>
      <c r="C1132" s="56" t="s">
        <v>314</v>
      </c>
      <c r="D1132">
        <v>2017</v>
      </c>
      <c r="E1132">
        <v>14</v>
      </c>
      <c r="F1132" s="57">
        <v>32.67</v>
      </c>
      <c r="G1132">
        <v>12</v>
      </c>
      <c r="H1132" s="58">
        <v>-5.4909999999999997</v>
      </c>
      <c r="I1132" s="57">
        <v>35.7273</v>
      </c>
      <c r="J1132" s="58" t="s">
        <v>1</v>
      </c>
      <c r="K1132">
        <v>4.0999999999999996</v>
      </c>
      <c r="L1132" s="26"/>
      <c r="M1132" s="58">
        <v>85</v>
      </c>
      <c r="N1132" s="59" t="s">
        <v>96</v>
      </c>
      <c r="O1132" s="61" t="s">
        <v>131</v>
      </c>
    </row>
    <row r="1133" spans="1:15" ht="60" x14ac:dyDescent="0.25">
      <c r="A1133">
        <v>9478</v>
      </c>
      <c r="B1133">
        <v>30</v>
      </c>
      <c r="C1133" s="56" t="s">
        <v>314</v>
      </c>
      <c r="D1133">
        <v>2017</v>
      </c>
      <c r="E1133">
        <v>10</v>
      </c>
      <c r="F1133" s="57">
        <v>22</v>
      </c>
      <c r="G1133">
        <v>21</v>
      </c>
      <c r="H1133" s="58">
        <v>29.9145</v>
      </c>
      <c r="I1133" s="57">
        <v>34.909100000000002</v>
      </c>
      <c r="J1133" s="58" t="s">
        <v>1</v>
      </c>
      <c r="K1133">
        <v>3.8</v>
      </c>
      <c r="L1133" s="26"/>
      <c r="M1133" s="58">
        <v>37</v>
      </c>
      <c r="N1133" s="59" t="s">
        <v>72</v>
      </c>
      <c r="O1133" s="61" t="s">
        <v>958</v>
      </c>
    </row>
    <row r="1134" spans="1:15" ht="45" x14ac:dyDescent="0.25">
      <c r="A1134">
        <v>9479</v>
      </c>
      <c r="B1134">
        <v>31</v>
      </c>
      <c r="C1134" s="56" t="s">
        <v>314</v>
      </c>
      <c r="D1134">
        <v>2017</v>
      </c>
      <c r="E1134">
        <v>16</v>
      </c>
      <c r="F1134" s="57">
        <v>43.37</v>
      </c>
      <c r="G1134">
        <v>0</v>
      </c>
      <c r="H1134" s="58">
        <v>36.728700000000003</v>
      </c>
      <c r="I1134" s="57">
        <v>11.1586</v>
      </c>
      <c r="J1134" s="58" t="s">
        <v>1</v>
      </c>
      <c r="K1134">
        <v>3.6</v>
      </c>
      <c r="L1134" s="26">
        <v>4.0999999999999996</v>
      </c>
      <c r="M1134" s="58">
        <v>126</v>
      </c>
      <c r="N1134" s="59" t="s">
        <v>2</v>
      </c>
      <c r="O1134" s="61" t="s">
        <v>959</v>
      </c>
    </row>
    <row r="1135" spans="1:15" ht="45" x14ac:dyDescent="0.25">
      <c r="A1135">
        <v>9480</v>
      </c>
      <c r="B1135">
        <v>31</v>
      </c>
      <c r="C1135" s="56" t="s">
        <v>314</v>
      </c>
      <c r="D1135">
        <v>2017</v>
      </c>
      <c r="E1135">
        <v>23</v>
      </c>
      <c r="F1135" s="57">
        <v>25.28</v>
      </c>
      <c r="G1135">
        <v>9</v>
      </c>
      <c r="H1135" s="58">
        <v>17.113600000000002</v>
      </c>
      <c r="I1135" s="57">
        <v>-7.6578999999999997</v>
      </c>
      <c r="J1135" s="58" t="s">
        <v>1</v>
      </c>
      <c r="K1135">
        <v>4</v>
      </c>
      <c r="L1135" s="26">
        <v>3.3</v>
      </c>
      <c r="M1135" s="58">
        <v>97</v>
      </c>
      <c r="N1135" s="59" t="s">
        <v>15</v>
      </c>
      <c r="O1135" s="61" t="s">
        <v>270</v>
      </c>
    </row>
    <row r="1136" spans="1:15" ht="45" x14ac:dyDescent="0.25">
      <c r="A1136">
        <v>9481</v>
      </c>
      <c r="B1136">
        <v>31</v>
      </c>
      <c r="C1136" s="56" t="s">
        <v>314</v>
      </c>
      <c r="D1136">
        <v>2017</v>
      </c>
      <c r="E1136">
        <v>27</v>
      </c>
      <c r="F1136" s="57">
        <v>32.6</v>
      </c>
      <c r="G1136">
        <v>17</v>
      </c>
      <c r="H1136" s="58">
        <v>32.8904</v>
      </c>
      <c r="I1136" s="57">
        <v>22.669499999999999</v>
      </c>
      <c r="J1136" s="58" t="s">
        <v>1</v>
      </c>
      <c r="K1136">
        <v>3.5</v>
      </c>
      <c r="L1136" s="26"/>
      <c r="M1136" s="58">
        <v>157</v>
      </c>
      <c r="N1136" s="59" t="s">
        <v>960</v>
      </c>
      <c r="O1136" s="61" t="s">
        <v>891</v>
      </c>
    </row>
    <row r="1137" spans="1:15" ht="60" x14ac:dyDescent="0.25">
      <c r="A1137">
        <v>9482</v>
      </c>
      <c r="B1137">
        <v>1</v>
      </c>
      <c r="C1137" s="56" t="s">
        <v>348</v>
      </c>
      <c r="D1137">
        <v>2017</v>
      </c>
      <c r="E1137">
        <v>44</v>
      </c>
      <c r="F1137" s="57">
        <v>21.3</v>
      </c>
      <c r="G1137">
        <v>2</v>
      </c>
      <c r="H1137" s="58">
        <v>35.693300000000001</v>
      </c>
      <c r="I1137" s="57">
        <v>9.1206999999999994</v>
      </c>
      <c r="J1137" s="58" t="s">
        <v>1</v>
      </c>
      <c r="K1137">
        <v>4.2</v>
      </c>
      <c r="L1137" s="26"/>
      <c r="M1137" s="58">
        <v>77</v>
      </c>
      <c r="N1137" s="59" t="s">
        <v>2</v>
      </c>
      <c r="O1137" s="61" t="s">
        <v>961</v>
      </c>
    </row>
    <row r="1138" spans="1:15" ht="105" x14ac:dyDescent="0.25">
      <c r="A1138">
        <v>9483</v>
      </c>
      <c r="B1138">
        <v>1</v>
      </c>
      <c r="C1138" s="56" t="s">
        <v>348</v>
      </c>
      <c r="D1138">
        <v>2017</v>
      </c>
      <c r="E1138">
        <v>12</v>
      </c>
      <c r="F1138" s="57">
        <v>38.97</v>
      </c>
      <c r="G1138">
        <v>12</v>
      </c>
      <c r="H1138" s="58">
        <v>-22.835999999999999</v>
      </c>
      <c r="I1138" s="57">
        <v>24.970099999999999</v>
      </c>
      <c r="J1138" s="58" t="s">
        <v>1</v>
      </c>
      <c r="K1138">
        <v>4.5</v>
      </c>
      <c r="L1138" s="26">
        <v>4.7</v>
      </c>
      <c r="M1138" s="58">
        <v>76</v>
      </c>
      <c r="N1138" s="59" t="s">
        <v>66</v>
      </c>
      <c r="O1138" s="61" t="s">
        <v>962</v>
      </c>
    </row>
    <row r="1139" spans="1:15" ht="105" x14ac:dyDescent="0.25">
      <c r="A1139">
        <v>9484</v>
      </c>
      <c r="B1139">
        <v>1</v>
      </c>
      <c r="C1139" s="56" t="s">
        <v>348</v>
      </c>
      <c r="D1139">
        <v>2017</v>
      </c>
      <c r="E1139">
        <v>36</v>
      </c>
      <c r="F1139" s="57">
        <v>56.79</v>
      </c>
      <c r="G1139">
        <v>16</v>
      </c>
      <c r="H1139" s="58">
        <v>3.0815999999999999</v>
      </c>
      <c r="I1139" s="57">
        <v>19.579699999999999</v>
      </c>
      <c r="J1139" s="58" t="s">
        <v>1</v>
      </c>
      <c r="K1139">
        <v>4.0999999999999996</v>
      </c>
      <c r="L1139" s="26"/>
      <c r="M1139" s="58">
        <v>172</v>
      </c>
      <c r="N1139" s="59" t="s">
        <v>8</v>
      </c>
      <c r="O1139" s="61" t="s">
        <v>963</v>
      </c>
    </row>
    <row r="1140" spans="1:15" ht="135" x14ac:dyDescent="0.25">
      <c r="A1140">
        <v>9485</v>
      </c>
      <c r="B1140">
        <v>1</v>
      </c>
      <c r="C1140" s="56" t="s">
        <v>348</v>
      </c>
      <c r="D1140">
        <v>2017</v>
      </c>
      <c r="E1140">
        <v>13</v>
      </c>
      <c r="F1140" s="57">
        <v>57.35</v>
      </c>
      <c r="G1140">
        <v>19</v>
      </c>
      <c r="H1140" s="58">
        <v>-27.257400000000001</v>
      </c>
      <c r="I1140" s="57">
        <v>27.5001</v>
      </c>
      <c r="J1140" s="58" t="s">
        <v>1</v>
      </c>
      <c r="L1140" s="26"/>
      <c r="M1140" s="58">
        <v>142</v>
      </c>
      <c r="N1140" s="59" t="s">
        <v>6</v>
      </c>
      <c r="O1140" s="61" t="s">
        <v>964</v>
      </c>
    </row>
    <row r="1141" spans="1:15" ht="60" x14ac:dyDescent="0.25">
      <c r="A1141">
        <v>9486</v>
      </c>
      <c r="B1141">
        <v>2</v>
      </c>
      <c r="C1141" s="56" t="s">
        <v>348</v>
      </c>
      <c r="D1141">
        <v>2017</v>
      </c>
      <c r="E1141">
        <v>51</v>
      </c>
      <c r="F1141" s="57">
        <v>18.41</v>
      </c>
      <c r="G1141">
        <v>1</v>
      </c>
      <c r="H1141" s="58">
        <v>15.9994</v>
      </c>
      <c r="I1141" s="57">
        <v>19.064800000000002</v>
      </c>
      <c r="J1141" s="58" t="s">
        <v>1</v>
      </c>
      <c r="K1141">
        <v>3.8</v>
      </c>
      <c r="L1141" s="26"/>
      <c r="M1141" s="58">
        <v>119</v>
      </c>
      <c r="N1141" s="59" t="s">
        <v>139</v>
      </c>
      <c r="O1141" s="61" t="s">
        <v>965</v>
      </c>
    </row>
    <row r="1142" spans="1:15" ht="60" x14ac:dyDescent="0.25">
      <c r="A1142">
        <v>9487</v>
      </c>
      <c r="B1142">
        <v>2</v>
      </c>
      <c r="C1142" s="56" t="s">
        <v>348</v>
      </c>
      <c r="D1142">
        <v>2017</v>
      </c>
      <c r="E1142">
        <v>30</v>
      </c>
      <c r="F1142" s="57">
        <v>10.15</v>
      </c>
      <c r="G1142">
        <v>7</v>
      </c>
      <c r="H1142" s="58">
        <v>-28.9392</v>
      </c>
      <c r="I1142" s="57">
        <v>42.0428</v>
      </c>
      <c r="J1142" s="58" t="s">
        <v>1</v>
      </c>
      <c r="K1142">
        <v>3.8</v>
      </c>
      <c r="L1142" s="26"/>
      <c r="M1142" s="58">
        <v>33</v>
      </c>
      <c r="N1142" s="59" t="s">
        <v>829</v>
      </c>
      <c r="O1142" s="61" t="s">
        <v>895</v>
      </c>
    </row>
    <row r="1143" spans="1:15" ht="90" x14ac:dyDescent="0.25">
      <c r="A1143">
        <v>9488</v>
      </c>
      <c r="B1143">
        <v>2</v>
      </c>
      <c r="C1143" s="56" t="s">
        <v>348</v>
      </c>
      <c r="D1143">
        <v>2017</v>
      </c>
      <c r="E1143">
        <v>3</v>
      </c>
      <c r="F1143" s="57">
        <v>45.36</v>
      </c>
      <c r="G1143">
        <v>9</v>
      </c>
      <c r="H1143" s="58">
        <v>-15.3165</v>
      </c>
      <c r="I1143" s="57">
        <v>28.3125</v>
      </c>
      <c r="J1143" s="58" t="s">
        <v>1</v>
      </c>
      <c r="K1143">
        <v>3.9</v>
      </c>
      <c r="L1143" s="26">
        <v>4.7</v>
      </c>
      <c r="M1143" s="58">
        <v>41</v>
      </c>
      <c r="N1143" s="59" t="s">
        <v>82</v>
      </c>
      <c r="O1143" s="61" t="s">
        <v>966</v>
      </c>
    </row>
    <row r="1144" spans="1:15" ht="60" x14ac:dyDescent="0.25">
      <c r="A1144">
        <v>9489</v>
      </c>
      <c r="B1144">
        <v>2</v>
      </c>
      <c r="C1144" s="56" t="s">
        <v>348</v>
      </c>
      <c r="D1144">
        <v>2017</v>
      </c>
      <c r="E1144">
        <v>25</v>
      </c>
      <c r="F1144" s="57">
        <v>20.89</v>
      </c>
      <c r="G1144">
        <v>21</v>
      </c>
      <c r="H1144" s="58">
        <v>-26.865200000000002</v>
      </c>
      <c r="I1144" s="57">
        <v>48.0443</v>
      </c>
      <c r="J1144" s="58" t="s">
        <v>1</v>
      </c>
      <c r="K1144">
        <v>3.9</v>
      </c>
      <c r="L1144" s="26"/>
      <c r="M1144" s="58">
        <v>159</v>
      </c>
      <c r="N1144" s="59" t="s">
        <v>829</v>
      </c>
      <c r="O1144" s="61" t="s">
        <v>895</v>
      </c>
    </row>
    <row r="1145" spans="1:15" ht="45" x14ac:dyDescent="0.25">
      <c r="A1145">
        <v>9490</v>
      </c>
      <c r="B1145">
        <v>2</v>
      </c>
      <c r="C1145" s="56" t="s">
        <v>348</v>
      </c>
      <c r="D1145">
        <v>2017</v>
      </c>
      <c r="E1145">
        <v>49</v>
      </c>
      <c r="F1145" s="57">
        <v>35.409999999999997</v>
      </c>
      <c r="G1145">
        <v>21</v>
      </c>
      <c r="H1145" s="58">
        <v>19.361999999999998</v>
      </c>
      <c r="I1145" s="57">
        <v>-2.1320000000000001</v>
      </c>
      <c r="J1145" s="58" t="s">
        <v>1</v>
      </c>
      <c r="K1145">
        <v>4.0999999999999996</v>
      </c>
      <c r="L1145" s="26">
        <v>3</v>
      </c>
      <c r="M1145" s="58">
        <v>103</v>
      </c>
      <c r="N1145" s="59" t="s">
        <v>15</v>
      </c>
      <c r="O1145" s="61" t="s">
        <v>967</v>
      </c>
    </row>
    <row r="1146" spans="1:15" ht="75" x14ac:dyDescent="0.25">
      <c r="A1146">
        <v>9491</v>
      </c>
      <c r="B1146">
        <v>3</v>
      </c>
      <c r="C1146" s="56" t="s">
        <v>348</v>
      </c>
      <c r="D1146">
        <v>2017</v>
      </c>
      <c r="E1146">
        <v>17</v>
      </c>
      <c r="F1146" s="57">
        <v>1.74</v>
      </c>
      <c r="G1146">
        <v>0</v>
      </c>
      <c r="H1146" s="58">
        <v>-16.1084</v>
      </c>
      <c r="I1146" s="57">
        <v>12.0566</v>
      </c>
      <c r="J1146" s="58" t="s">
        <v>1</v>
      </c>
      <c r="K1146">
        <v>3.9</v>
      </c>
      <c r="L1146" s="26">
        <v>3.7</v>
      </c>
      <c r="M1146" s="58">
        <v>74</v>
      </c>
      <c r="N1146" s="59" t="s">
        <v>63</v>
      </c>
      <c r="O1146" s="61" t="s">
        <v>968</v>
      </c>
    </row>
    <row r="1147" spans="1:15" ht="120" x14ac:dyDescent="0.25">
      <c r="A1147">
        <v>9492</v>
      </c>
      <c r="B1147">
        <v>3</v>
      </c>
      <c r="C1147" s="56" t="s">
        <v>348</v>
      </c>
      <c r="D1147">
        <v>2017</v>
      </c>
      <c r="E1147">
        <v>24</v>
      </c>
      <c r="F1147" s="57">
        <v>46.75</v>
      </c>
      <c r="G1147">
        <v>11</v>
      </c>
      <c r="H1147" s="58">
        <v>-29.725300000000001</v>
      </c>
      <c r="I1147" s="57">
        <v>26.53</v>
      </c>
      <c r="J1147" s="58" t="s">
        <v>1</v>
      </c>
      <c r="K1147">
        <v>4</v>
      </c>
      <c r="L1147" s="26"/>
      <c r="M1147" s="58">
        <v>50</v>
      </c>
      <c r="N1147" s="59" t="s">
        <v>6</v>
      </c>
      <c r="O1147" s="61" t="s">
        <v>969</v>
      </c>
    </row>
    <row r="1148" spans="1:15" ht="60" x14ac:dyDescent="0.25">
      <c r="A1148">
        <v>9493</v>
      </c>
      <c r="B1148">
        <v>3</v>
      </c>
      <c r="C1148" s="56" t="s">
        <v>348</v>
      </c>
      <c r="D1148">
        <v>2017</v>
      </c>
      <c r="E1148">
        <v>9</v>
      </c>
      <c r="F1148" s="57">
        <v>13.89</v>
      </c>
      <c r="G1148">
        <v>12</v>
      </c>
      <c r="H1148" s="58">
        <v>-24.3413</v>
      </c>
      <c r="I1148" s="57">
        <v>30.558900000000001</v>
      </c>
      <c r="J1148" s="58" t="s">
        <v>1</v>
      </c>
      <c r="K1148">
        <v>4.0999999999999996</v>
      </c>
      <c r="L1148" s="26">
        <v>3.2</v>
      </c>
      <c r="M1148" s="58">
        <v>133</v>
      </c>
      <c r="N1148" s="59" t="s">
        <v>6</v>
      </c>
      <c r="O1148" s="61" t="s">
        <v>970</v>
      </c>
    </row>
    <row r="1149" spans="1:15" ht="75" x14ac:dyDescent="0.25">
      <c r="A1149">
        <v>9494</v>
      </c>
      <c r="B1149">
        <v>3</v>
      </c>
      <c r="C1149" s="56" t="s">
        <v>348</v>
      </c>
      <c r="D1149">
        <v>2017</v>
      </c>
      <c r="E1149">
        <v>13</v>
      </c>
      <c r="F1149" s="57">
        <v>33.770000000000003</v>
      </c>
      <c r="G1149">
        <v>14</v>
      </c>
      <c r="H1149" s="58">
        <v>-27.1297</v>
      </c>
      <c r="I1149" s="57">
        <v>25.0169</v>
      </c>
      <c r="J1149" s="58" t="s">
        <v>1</v>
      </c>
      <c r="K1149">
        <v>4.4000000000000004</v>
      </c>
      <c r="L1149" s="26"/>
      <c r="M1149" s="58">
        <v>84</v>
      </c>
      <c r="N1149" s="59" t="s">
        <v>6</v>
      </c>
      <c r="O1149" s="61" t="s">
        <v>971</v>
      </c>
    </row>
    <row r="1150" spans="1:15" ht="165" x14ac:dyDescent="0.25">
      <c r="A1150">
        <v>9495</v>
      </c>
      <c r="B1150">
        <v>3</v>
      </c>
      <c r="C1150" s="56" t="s">
        <v>348</v>
      </c>
      <c r="D1150">
        <v>2017</v>
      </c>
      <c r="E1150">
        <v>5</v>
      </c>
      <c r="F1150" s="57">
        <v>12.3</v>
      </c>
      <c r="G1150">
        <v>16</v>
      </c>
      <c r="H1150" s="58">
        <v>-24.7486</v>
      </c>
      <c r="I1150" s="57">
        <v>31.356300000000001</v>
      </c>
      <c r="J1150" s="58" t="s">
        <v>1</v>
      </c>
      <c r="K1150">
        <v>4.2</v>
      </c>
      <c r="L1150" s="26">
        <v>3.9</v>
      </c>
      <c r="M1150" s="58">
        <v>136</v>
      </c>
      <c r="N1150" s="59" t="s">
        <v>6</v>
      </c>
      <c r="O1150" s="61" t="s">
        <v>972</v>
      </c>
    </row>
    <row r="1151" spans="1:15" ht="45" x14ac:dyDescent="0.25">
      <c r="A1151">
        <v>9496</v>
      </c>
      <c r="B1151">
        <v>3</v>
      </c>
      <c r="C1151" s="56" t="s">
        <v>348</v>
      </c>
      <c r="D1151">
        <v>2017</v>
      </c>
      <c r="E1151">
        <v>13</v>
      </c>
      <c r="F1151" s="57">
        <v>22.08</v>
      </c>
      <c r="G1151">
        <v>17</v>
      </c>
      <c r="H1151" s="58">
        <v>-8.7144999999999992</v>
      </c>
      <c r="I1151" s="57">
        <v>21.816199999999998</v>
      </c>
      <c r="J1151" s="58" t="s">
        <v>1</v>
      </c>
      <c r="K1151">
        <v>4.0999999999999996</v>
      </c>
      <c r="L1151" s="26">
        <v>4</v>
      </c>
      <c r="M1151" s="58">
        <v>22</v>
      </c>
      <c r="N1151" s="59" t="s">
        <v>63</v>
      </c>
      <c r="O1151" s="61" t="s">
        <v>973</v>
      </c>
    </row>
    <row r="1152" spans="1:15" ht="60" x14ac:dyDescent="0.25">
      <c r="A1152">
        <v>9497</v>
      </c>
      <c r="B1152">
        <v>3</v>
      </c>
      <c r="C1152" s="56" t="s">
        <v>348</v>
      </c>
      <c r="D1152">
        <v>2017</v>
      </c>
      <c r="E1152">
        <v>53</v>
      </c>
      <c r="F1152" s="57">
        <v>52.1</v>
      </c>
      <c r="G1152">
        <v>22</v>
      </c>
      <c r="H1152" s="58">
        <v>6.5791000000000004</v>
      </c>
      <c r="I1152" s="57">
        <v>-5.0185000000000004</v>
      </c>
      <c r="J1152" s="58" t="s">
        <v>1</v>
      </c>
      <c r="K1152">
        <v>4.3</v>
      </c>
      <c r="L1152" s="26"/>
      <c r="M1152" s="58">
        <v>59</v>
      </c>
      <c r="N1152" s="59" t="s">
        <v>15</v>
      </c>
      <c r="O1152" s="61" t="s">
        <v>974</v>
      </c>
    </row>
    <row r="1153" spans="1:15" ht="75" x14ac:dyDescent="0.25">
      <c r="A1153">
        <v>9498</v>
      </c>
      <c r="B1153">
        <v>4</v>
      </c>
      <c r="C1153" s="56" t="s">
        <v>348</v>
      </c>
      <c r="D1153">
        <v>2017</v>
      </c>
      <c r="E1153">
        <v>27</v>
      </c>
      <c r="F1153" s="57">
        <v>1.25</v>
      </c>
      <c r="G1153">
        <v>9</v>
      </c>
      <c r="H1153" s="58">
        <v>7.8517000000000001</v>
      </c>
      <c r="I1153" s="57">
        <v>7.0728</v>
      </c>
      <c r="J1153" s="58" t="s">
        <v>1</v>
      </c>
      <c r="K1153">
        <v>4.3</v>
      </c>
      <c r="L1153" s="26"/>
      <c r="M1153" s="58">
        <v>89</v>
      </c>
      <c r="N1153" s="59" t="s">
        <v>15</v>
      </c>
      <c r="O1153" s="61" t="s">
        <v>975</v>
      </c>
    </row>
    <row r="1154" spans="1:15" ht="45" x14ac:dyDescent="0.25">
      <c r="A1154">
        <v>9499</v>
      </c>
      <c r="B1154">
        <v>4</v>
      </c>
      <c r="C1154" s="56" t="s">
        <v>348</v>
      </c>
      <c r="D1154">
        <v>2017</v>
      </c>
      <c r="E1154">
        <v>14</v>
      </c>
      <c r="F1154" s="57">
        <v>8.26</v>
      </c>
      <c r="G1154">
        <v>15</v>
      </c>
      <c r="H1154" s="58">
        <v>5.9733000000000001</v>
      </c>
      <c r="I1154" s="57">
        <v>46.079799999999999</v>
      </c>
      <c r="J1154" s="58" t="s">
        <v>1</v>
      </c>
      <c r="K1154">
        <v>4.0999999999999996</v>
      </c>
      <c r="L1154" s="26">
        <v>3.9</v>
      </c>
      <c r="M1154" s="58">
        <v>153</v>
      </c>
      <c r="N1154" s="59" t="s">
        <v>385</v>
      </c>
      <c r="O1154" s="61" t="s">
        <v>976</v>
      </c>
    </row>
    <row r="1155" spans="1:15" ht="90" x14ac:dyDescent="0.25">
      <c r="A1155">
        <v>9500</v>
      </c>
      <c r="B1155">
        <v>4</v>
      </c>
      <c r="C1155" s="56" t="s">
        <v>348</v>
      </c>
      <c r="D1155">
        <v>2017</v>
      </c>
      <c r="E1155">
        <v>15</v>
      </c>
      <c r="F1155" s="57">
        <v>7.2</v>
      </c>
      <c r="G1155">
        <v>19</v>
      </c>
      <c r="H1155" s="58">
        <v>23.482299999999999</v>
      </c>
      <c r="I1155" s="57">
        <v>36.917400000000001</v>
      </c>
      <c r="J1155" s="58" t="s">
        <v>1</v>
      </c>
      <c r="K1155">
        <v>4.2</v>
      </c>
      <c r="L1155" s="26"/>
      <c r="M1155" s="58">
        <v>82</v>
      </c>
      <c r="N1155" s="59" t="s">
        <v>977</v>
      </c>
      <c r="O1155" s="61" t="s">
        <v>978</v>
      </c>
    </row>
    <row r="1156" spans="1:15" ht="45" x14ac:dyDescent="0.25">
      <c r="A1156">
        <v>9501</v>
      </c>
      <c r="B1156">
        <v>4</v>
      </c>
      <c r="C1156" s="56" t="s">
        <v>348</v>
      </c>
      <c r="D1156">
        <v>2017</v>
      </c>
      <c r="E1156">
        <v>17</v>
      </c>
      <c r="F1156" s="57">
        <v>21.28</v>
      </c>
      <c r="G1156">
        <v>19</v>
      </c>
      <c r="H1156" s="58">
        <v>-0.97260000000000002</v>
      </c>
      <c r="I1156" s="57">
        <v>35.975099999999998</v>
      </c>
      <c r="J1156" s="58" t="s">
        <v>1</v>
      </c>
      <c r="K1156">
        <v>4.2</v>
      </c>
      <c r="L1156" s="26"/>
      <c r="M1156" s="58">
        <v>12</v>
      </c>
      <c r="N1156" s="59" t="s">
        <v>13</v>
      </c>
      <c r="O1156" s="61" t="s">
        <v>979</v>
      </c>
    </row>
    <row r="1157" spans="1:15" ht="60" x14ac:dyDescent="0.25">
      <c r="A1157">
        <v>9502</v>
      </c>
      <c r="B1157">
        <v>4</v>
      </c>
      <c r="C1157" s="56" t="s">
        <v>348</v>
      </c>
      <c r="D1157">
        <v>2017</v>
      </c>
      <c r="E1157">
        <v>38</v>
      </c>
      <c r="F1157" s="57">
        <v>41.94</v>
      </c>
      <c r="G1157">
        <v>19</v>
      </c>
      <c r="H1157" s="58">
        <v>-1.1617999999999999</v>
      </c>
      <c r="I1157" s="57" t="s">
        <v>980</v>
      </c>
      <c r="J1157" s="58" t="s">
        <v>1</v>
      </c>
      <c r="K1157">
        <v>3.8</v>
      </c>
      <c r="L1157" s="26"/>
      <c r="M1157" s="58">
        <v>35</v>
      </c>
      <c r="N1157" s="59" t="s">
        <v>13</v>
      </c>
      <c r="O1157" s="61" t="s">
        <v>981</v>
      </c>
    </row>
    <row r="1158" spans="1:15" ht="60" x14ac:dyDescent="0.25">
      <c r="A1158">
        <v>9503</v>
      </c>
      <c r="B1158">
        <v>4</v>
      </c>
      <c r="C1158" s="56" t="s">
        <v>348</v>
      </c>
      <c r="D1158">
        <v>2017</v>
      </c>
      <c r="E1158">
        <v>28</v>
      </c>
      <c r="F1158" s="57">
        <v>22.63</v>
      </c>
      <c r="G1158">
        <v>21</v>
      </c>
      <c r="H1158" s="58">
        <v>-9.2019000000000002</v>
      </c>
      <c r="I1158" s="57">
        <v>35.145299999999999</v>
      </c>
      <c r="J1158" s="58" t="s">
        <v>1</v>
      </c>
      <c r="K1158">
        <v>4.4000000000000004</v>
      </c>
      <c r="L1158" s="26">
        <v>3.1</v>
      </c>
      <c r="M1158" s="58">
        <v>81</v>
      </c>
      <c r="N1158" s="59" t="s">
        <v>96</v>
      </c>
      <c r="O1158" s="61" t="s">
        <v>982</v>
      </c>
    </row>
    <row r="1159" spans="1:15" ht="30" x14ac:dyDescent="0.25">
      <c r="A1159">
        <v>9504</v>
      </c>
      <c r="B1159">
        <v>4</v>
      </c>
      <c r="C1159" s="56" t="s">
        <v>348</v>
      </c>
      <c r="D1159">
        <v>2017</v>
      </c>
      <c r="E1159">
        <v>53</v>
      </c>
      <c r="F1159" s="57">
        <v>23.09</v>
      </c>
      <c r="G1159">
        <v>21</v>
      </c>
      <c r="H1159" s="58">
        <v>30.0976</v>
      </c>
      <c r="I1159" s="57">
        <v>26.889700000000001</v>
      </c>
      <c r="J1159" s="58" t="s">
        <v>1</v>
      </c>
      <c r="K1159">
        <v>3.7</v>
      </c>
      <c r="L1159" s="26">
        <v>3.6</v>
      </c>
      <c r="M1159" s="58">
        <v>169</v>
      </c>
      <c r="N1159" s="59" t="s">
        <v>72</v>
      </c>
      <c r="O1159" s="61" t="s">
        <v>983</v>
      </c>
    </row>
    <row r="1160" spans="1:15" ht="45" x14ac:dyDescent="0.25">
      <c r="A1160">
        <v>9505</v>
      </c>
      <c r="B1160">
        <v>5</v>
      </c>
      <c r="C1160" s="56" t="s">
        <v>348</v>
      </c>
      <c r="D1160">
        <v>2017</v>
      </c>
      <c r="E1160">
        <v>27</v>
      </c>
      <c r="F1160" s="57">
        <v>17.91</v>
      </c>
      <c r="G1160">
        <v>19</v>
      </c>
      <c r="H1160" s="58">
        <v>0.74009999999999998</v>
      </c>
      <c r="I1160" s="57">
        <v>38.999000000000002</v>
      </c>
      <c r="J1160" s="58" t="s">
        <v>1</v>
      </c>
      <c r="K1160">
        <v>3.9</v>
      </c>
      <c r="L1160" s="26"/>
      <c r="M1160" s="58">
        <v>120</v>
      </c>
      <c r="N1160" s="59" t="s">
        <v>13</v>
      </c>
      <c r="O1160" s="61" t="s">
        <v>984</v>
      </c>
    </row>
    <row r="1161" spans="1:15" ht="90" x14ac:dyDescent="0.25">
      <c r="A1161">
        <v>9506</v>
      </c>
      <c r="B1161">
        <v>6</v>
      </c>
      <c r="C1161" s="56" t="s">
        <v>348</v>
      </c>
      <c r="D1161">
        <v>2017</v>
      </c>
      <c r="E1161">
        <v>37</v>
      </c>
      <c r="F1161" s="57">
        <v>11.42</v>
      </c>
      <c r="G1161">
        <v>4</v>
      </c>
      <c r="H1161" s="58">
        <v>7.0906000000000002</v>
      </c>
      <c r="I1161" s="57">
        <v>-6.1397000000000004</v>
      </c>
      <c r="J1161" s="58" t="s">
        <v>1</v>
      </c>
      <c r="K1161">
        <v>4</v>
      </c>
      <c r="L1161" s="26"/>
      <c r="M1161" s="58">
        <v>176</v>
      </c>
      <c r="N1161" s="59" t="s">
        <v>15</v>
      </c>
      <c r="O1161" s="61" t="s">
        <v>985</v>
      </c>
    </row>
    <row r="1162" spans="1:15" ht="60" x14ac:dyDescent="0.25">
      <c r="A1162">
        <v>9507</v>
      </c>
      <c r="B1162">
        <v>6</v>
      </c>
      <c r="C1162" s="56" t="s">
        <v>348</v>
      </c>
      <c r="D1162">
        <v>2017</v>
      </c>
      <c r="E1162">
        <v>5</v>
      </c>
      <c r="F1162" s="57">
        <v>20.46</v>
      </c>
      <c r="G1162">
        <v>20</v>
      </c>
      <c r="H1162" s="58">
        <v>21.725899999999999</v>
      </c>
      <c r="I1162" s="57">
        <v>-19.575900000000001</v>
      </c>
      <c r="J1162" s="58" t="s">
        <v>1</v>
      </c>
      <c r="K1162">
        <v>3.6</v>
      </c>
      <c r="L1162" s="26"/>
      <c r="M1162" s="58">
        <v>165</v>
      </c>
      <c r="N1162" s="59" t="s">
        <v>921</v>
      </c>
      <c r="O1162" s="61" t="s">
        <v>893</v>
      </c>
    </row>
    <row r="1163" spans="1:15" ht="45" x14ac:dyDescent="0.25">
      <c r="A1163">
        <v>9508</v>
      </c>
      <c r="B1163">
        <v>6</v>
      </c>
      <c r="C1163" s="56" t="s">
        <v>348</v>
      </c>
      <c r="D1163">
        <v>2017</v>
      </c>
      <c r="E1163">
        <v>1</v>
      </c>
      <c r="F1163" s="57">
        <v>19.809999999999999</v>
      </c>
      <c r="G1163">
        <v>22</v>
      </c>
      <c r="H1163" s="58">
        <v>29.8704</v>
      </c>
      <c r="I1163" s="57">
        <v>-1.8297000000000001</v>
      </c>
      <c r="J1163" s="58" t="s">
        <v>1</v>
      </c>
      <c r="K1163">
        <v>3.8</v>
      </c>
      <c r="L1163" s="26">
        <v>3.9</v>
      </c>
      <c r="M1163" s="58">
        <v>86</v>
      </c>
      <c r="N1163" s="59" t="s">
        <v>10</v>
      </c>
      <c r="O1163" s="61" t="s">
        <v>986</v>
      </c>
    </row>
    <row r="1164" spans="1:15" ht="45" x14ac:dyDescent="0.25">
      <c r="A1164">
        <v>9509</v>
      </c>
      <c r="B1164">
        <v>7</v>
      </c>
      <c r="C1164" s="56" t="s">
        <v>348</v>
      </c>
      <c r="D1164">
        <v>2017</v>
      </c>
      <c r="E1164">
        <v>18</v>
      </c>
      <c r="F1164" s="57">
        <v>31.59</v>
      </c>
      <c r="G1164">
        <v>9</v>
      </c>
      <c r="H1164" s="58">
        <v>11.1829</v>
      </c>
      <c r="I1164" s="57">
        <v>2.2183000000000002</v>
      </c>
      <c r="J1164" s="58">
        <v>0.8</v>
      </c>
      <c r="K1164">
        <v>4.4000000000000004</v>
      </c>
      <c r="L1164" s="26">
        <v>3.5</v>
      </c>
      <c r="M1164" s="58">
        <v>123</v>
      </c>
      <c r="N1164" s="59" t="s">
        <v>15</v>
      </c>
      <c r="O1164" s="61" t="s">
        <v>987</v>
      </c>
    </row>
    <row r="1165" spans="1:15" ht="45" x14ac:dyDescent="0.25">
      <c r="A1165">
        <v>9510</v>
      </c>
      <c r="B1165">
        <v>7</v>
      </c>
      <c r="C1165" s="56" t="s">
        <v>348</v>
      </c>
      <c r="D1165">
        <v>2017</v>
      </c>
      <c r="E1165">
        <v>18</v>
      </c>
      <c r="F1165" s="57">
        <v>34.28</v>
      </c>
      <c r="G1165">
        <v>9</v>
      </c>
      <c r="H1165" s="58">
        <v>32.918999999999997</v>
      </c>
      <c r="I1165" s="57">
        <v>2.8149999999999999</v>
      </c>
      <c r="J1165" s="58" t="s">
        <v>1</v>
      </c>
      <c r="K1165">
        <v>4.0999999999999996</v>
      </c>
      <c r="L1165" s="26">
        <v>3.2</v>
      </c>
      <c r="M1165" s="58">
        <v>100</v>
      </c>
      <c r="N1165" s="59" t="s">
        <v>10</v>
      </c>
      <c r="O1165" s="61" t="s">
        <v>988</v>
      </c>
    </row>
    <row r="1166" spans="1:15" ht="45" x14ac:dyDescent="0.25">
      <c r="A1166">
        <v>9511</v>
      </c>
      <c r="B1166">
        <v>8</v>
      </c>
      <c r="C1166" s="56" t="s">
        <v>348</v>
      </c>
      <c r="D1166">
        <v>2017</v>
      </c>
      <c r="E1166">
        <v>58</v>
      </c>
      <c r="F1166" s="57">
        <v>54.29</v>
      </c>
      <c r="G1166">
        <v>7</v>
      </c>
      <c r="H1166" s="58">
        <v>1.8326</v>
      </c>
      <c r="I1166" s="57">
        <v>53.3872</v>
      </c>
      <c r="J1166" s="58" t="s">
        <v>1</v>
      </c>
      <c r="K1166">
        <v>4</v>
      </c>
      <c r="L1166" s="26"/>
      <c r="M1166" s="58">
        <v>179</v>
      </c>
      <c r="N1166" s="59" t="s">
        <v>989</v>
      </c>
      <c r="O1166" s="61" t="s">
        <v>953</v>
      </c>
    </row>
    <row r="1167" spans="1:15" ht="60" x14ac:dyDescent="0.25">
      <c r="A1167">
        <v>9512</v>
      </c>
      <c r="B1167">
        <v>8</v>
      </c>
      <c r="C1167" s="56" t="s">
        <v>348</v>
      </c>
      <c r="D1167">
        <v>2017</v>
      </c>
      <c r="E1167">
        <v>35</v>
      </c>
      <c r="F1167" s="57">
        <v>41.23</v>
      </c>
      <c r="G1167">
        <v>12</v>
      </c>
      <c r="H1167" s="58">
        <v>-15.781499999999999</v>
      </c>
      <c r="I1167" s="57">
        <v>44.614400000000003</v>
      </c>
      <c r="J1167" s="58" t="s">
        <v>1</v>
      </c>
      <c r="K1167">
        <v>4.0999999999999996</v>
      </c>
      <c r="L1167" s="26"/>
      <c r="M1167" s="58">
        <v>148</v>
      </c>
      <c r="N1167" s="59" t="s">
        <v>75</v>
      </c>
      <c r="O1167" s="61" t="s">
        <v>990</v>
      </c>
    </row>
    <row r="1168" spans="1:15" ht="60" x14ac:dyDescent="0.25">
      <c r="A1168">
        <v>9513</v>
      </c>
      <c r="B1168">
        <v>8</v>
      </c>
      <c r="C1168" s="56" t="s">
        <v>348</v>
      </c>
      <c r="D1168">
        <v>2017</v>
      </c>
      <c r="E1168">
        <v>29</v>
      </c>
      <c r="F1168" s="57">
        <v>29.69</v>
      </c>
      <c r="G1168">
        <v>21</v>
      </c>
      <c r="H1168" s="58">
        <v>-29.810300000000002</v>
      </c>
      <c r="I1168" s="57">
        <v>24.4405</v>
      </c>
      <c r="J1168" s="58" t="s">
        <v>1</v>
      </c>
      <c r="K1168">
        <v>4.2</v>
      </c>
      <c r="L1168" s="26"/>
      <c r="M1168" s="58">
        <v>136</v>
      </c>
      <c r="N1168" s="59" t="s">
        <v>6</v>
      </c>
      <c r="O1168" s="61" t="s">
        <v>991</v>
      </c>
    </row>
    <row r="1169" spans="1:15" ht="45" x14ac:dyDescent="0.25">
      <c r="A1169">
        <v>9514</v>
      </c>
      <c r="B1169">
        <v>9</v>
      </c>
      <c r="C1169" s="56" t="s">
        <v>348</v>
      </c>
      <c r="D1169">
        <v>2017</v>
      </c>
      <c r="E1169">
        <v>36</v>
      </c>
      <c r="F1169" s="57">
        <v>59.5</v>
      </c>
      <c r="G1169">
        <v>6</v>
      </c>
      <c r="H1169" s="58">
        <v>7.8525999999999998</v>
      </c>
      <c r="I1169" s="57">
        <v>-4.0955000000000004</v>
      </c>
      <c r="J1169" s="58" t="s">
        <v>1</v>
      </c>
      <c r="K1169">
        <v>4.4000000000000004</v>
      </c>
      <c r="L1169" s="26"/>
      <c r="M1169" s="58">
        <v>117</v>
      </c>
      <c r="N1169" s="59" t="s">
        <v>15</v>
      </c>
      <c r="O1169" s="61" t="s">
        <v>992</v>
      </c>
    </row>
    <row r="1170" spans="1:15" ht="45" x14ac:dyDescent="0.25">
      <c r="A1170">
        <v>9515</v>
      </c>
      <c r="B1170">
        <v>9</v>
      </c>
      <c r="C1170" s="56" t="s">
        <v>348</v>
      </c>
      <c r="D1170">
        <v>2017</v>
      </c>
      <c r="E1170">
        <v>39</v>
      </c>
      <c r="F1170" s="57">
        <v>34.450000000000003</v>
      </c>
      <c r="G1170">
        <v>6</v>
      </c>
      <c r="H1170" s="58">
        <v>5.6341999999999999</v>
      </c>
      <c r="I1170" s="57">
        <v>-5.8224999999999998</v>
      </c>
      <c r="J1170" s="58" t="s">
        <v>1</v>
      </c>
      <c r="L1170" s="26">
        <v>2.2999999999999998</v>
      </c>
      <c r="M1170" s="58">
        <v>135</v>
      </c>
      <c r="N1170" s="59" t="s">
        <v>15</v>
      </c>
      <c r="O1170" s="61" t="s">
        <v>993</v>
      </c>
    </row>
    <row r="1171" spans="1:15" ht="45" x14ac:dyDescent="0.25">
      <c r="A1171">
        <v>9516</v>
      </c>
      <c r="B1171">
        <v>9</v>
      </c>
      <c r="C1171" s="56" t="s">
        <v>348</v>
      </c>
      <c r="D1171">
        <v>2017</v>
      </c>
      <c r="E1171">
        <v>50</v>
      </c>
      <c r="F1171" s="57">
        <v>56.86</v>
      </c>
      <c r="G1171">
        <v>6</v>
      </c>
      <c r="H1171" s="58">
        <v>14.803699999999999</v>
      </c>
      <c r="I1171" s="57">
        <v>-5.8914</v>
      </c>
      <c r="J1171" s="58" t="s">
        <v>1</v>
      </c>
      <c r="K1171">
        <v>4.0999999999999996</v>
      </c>
      <c r="L1171" s="26">
        <v>2.4</v>
      </c>
      <c r="M1171" s="58">
        <v>145</v>
      </c>
      <c r="N1171" s="59" t="s">
        <v>15</v>
      </c>
      <c r="O1171" s="61" t="s">
        <v>994</v>
      </c>
    </row>
    <row r="1172" spans="1:15" ht="45" x14ac:dyDescent="0.25">
      <c r="A1172">
        <v>9517</v>
      </c>
      <c r="B1172">
        <v>9</v>
      </c>
      <c r="C1172" s="56" t="s">
        <v>348</v>
      </c>
      <c r="D1172">
        <v>2017</v>
      </c>
      <c r="E1172">
        <v>28</v>
      </c>
      <c r="F1172" s="57">
        <v>20.239999999999998</v>
      </c>
      <c r="G1172">
        <v>12</v>
      </c>
      <c r="H1172" s="58">
        <v>-31.371500000000001</v>
      </c>
      <c r="I1172" s="57">
        <v>26.204999999999998</v>
      </c>
      <c r="J1172" s="58" t="s">
        <v>1</v>
      </c>
      <c r="K1172">
        <v>4.5</v>
      </c>
      <c r="L1172" s="26">
        <v>2.2999999999999998</v>
      </c>
      <c r="M1172" s="58">
        <v>68</v>
      </c>
      <c r="N1172" s="58" t="s">
        <v>6</v>
      </c>
      <c r="O1172" s="61" t="s">
        <v>519</v>
      </c>
    </row>
    <row r="1173" spans="1:15" ht="75" x14ac:dyDescent="0.25">
      <c r="A1173">
        <v>9518</v>
      </c>
      <c r="B1173">
        <v>9</v>
      </c>
      <c r="C1173" s="56" t="s">
        <v>348</v>
      </c>
      <c r="D1173">
        <v>2017</v>
      </c>
      <c r="E1173">
        <v>37</v>
      </c>
      <c r="F1173" s="57">
        <v>44.01</v>
      </c>
      <c r="G1173">
        <v>15</v>
      </c>
      <c r="H1173" s="58">
        <v>-27.1434</v>
      </c>
      <c r="I1173" s="57">
        <v>29.024699999999999</v>
      </c>
      <c r="J1173" s="58" t="s">
        <v>1</v>
      </c>
      <c r="K1173">
        <v>3.8</v>
      </c>
      <c r="L1173" s="26">
        <v>3.2</v>
      </c>
      <c r="M1173" s="58">
        <v>170</v>
      </c>
      <c r="N1173" s="59" t="s">
        <v>6</v>
      </c>
      <c r="O1173" s="61" t="s">
        <v>995</v>
      </c>
    </row>
    <row r="1174" spans="1:15" ht="60" x14ac:dyDescent="0.25">
      <c r="A1174">
        <v>9519</v>
      </c>
      <c r="B1174">
        <v>10</v>
      </c>
      <c r="C1174" s="56" t="s">
        <v>348</v>
      </c>
      <c r="D1174">
        <v>2017</v>
      </c>
      <c r="E1174">
        <v>25</v>
      </c>
      <c r="F1174" s="57">
        <v>2.74</v>
      </c>
      <c r="G1174">
        <v>22</v>
      </c>
      <c r="H1174" s="58">
        <v>-14.917</v>
      </c>
      <c r="I1174" s="57">
        <v>56.845500000000001</v>
      </c>
      <c r="J1174" s="58" t="s">
        <v>1</v>
      </c>
      <c r="K1174">
        <v>3.9</v>
      </c>
      <c r="L1174" s="26"/>
      <c r="M1174" s="58">
        <v>21</v>
      </c>
      <c r="N1174" s="59" t="s">
        <v>829</v>
      </c>
      <c r="O1174" s="61" t="s">
        <v>895</v>
      </c>
    </row>
    <row r="1175" spans="1:15" ht="45" x14ac:dyDescent="0.25">
      <c r="A1175">
        <v>9520</v>
      </c>
      <c r="B1175">
        <v>20</v>
      </c>
      <c r="C1175" s="56" t="s">
        <v>348</v>
      </c>
      <c r="D1175">
        <v>2017</v>
      </c>
      <c r="E1175">
        <v>58</v>
      </c>
      <c r="F1175" s="57">
        <v>27.75</v>
      </c>
      <c r="G1175">
        <v>4</v>
      </c>
      <c r="H1175" s="58">
        <v>7.9192999999999998</v>
      </c>
      <c r="I1175" s="57">
        <v>57.4452</v>
      </c>
      <c r="J1175" s="58" t="s">
        <v>1</v>
      </c>
      <c r="K1175">
        <v>3.7</v>
      </c>
      <c r="L1175" s="26"/>
      <c r="M1175" s="58">
        <v>41</v>
      </c>
      <c r="N1175" s="59" t="s">
        <v>996</v>
      </c>
      <c r="O1175" s="61" t="s">
        <v>953</v>
      </c>
    </row>
    <row r="1176" spans="1:15" ht="60" x14ac:dyDescent="0.25">
      <c r="A1176">
        <v>9521</v>
      </c>
      <c r="B1176">
        <v>20</v>
      </c>
      <c r="C1176" s="56" t="s">
        <v>348</v>
      </c>
      <c r="D1176">
        <v>2017</v>
      </c>
      <c r="E1176">
        <v>46</v>
      </c>
      <c r="F1176" s="57">
        <v>28.09</v>
      </c>
      <c r="G1176">
        <v>15</v>
      </c>
      <c r="H1176" s="58">
        <v>-28.067900000000002</v>
      </c>
      <c r="I1176" s="57">
        <v>23.7958</v>
      </c>
      <c r="J1176" s="58" t="s">
        <v>1</v>
      </c>
      <c r="K1176">
        <v>4.2</v>
      </c>
      <c r="L1176" s="26"/>
      <c r="M1176" s="58">
        <v>18</v>
      </c>
      <c r="N1176" s="59" t="s">
        <v>6</v>
      </c>
      <c r="O1176" s="61" t="s">
        <v>997</v>
      </c>
    </row>
    <row r="1177" spans="1:15" ht="60" x14ac:dyDescent="0.25">
      <c r="A1177">
        <v>9522</v>
      </c>
      <c r="B1177">
        <v>21</v>
      </c>
      <c r="C1177" s="56" t="s">
        <v>348</v>
      </c>
      <c r="D1177">
        <v>2017</v>
      </c>
      <c r="E1177">
        <v>56</v>
      </c>
      <c r="F1177" s="57">
        <v>7.93</v>
      </c>
      <c r="G1177">
        <v>8</v>
      </c>
      <c r="H1177" s="58">
        <v>-2.2816000000000001</v>
      </c>
      <c r="I1177" s="57">
        <v>36.133299999999998</v>
      </c>
      <c r="J1177" s="58" t="s">
        <v>784</v>
      </c>
      <c r="K1177">
        <v>4.4000000000000004</v>
      </c>
      <c r="L1177" s="26"/>
      <c r="M1177" s="58">
        <v>136</v>
      </c>
      <c r="N1177" s="59" t="s">
        <v>96</v>
      </c>
      <c r="O1177" s="61" t="s">
        <v>998</v>
      </c>
    </row>
    <row r="1178" spans="1:15" ht="45" x14ac:dyDescent="0.25">
      <c r="A1178">
        <v>9523</v>
      </c>
      <c r="B1178">
        <v>21</v>
      </c>
      <c r="C1178" s="56" t="s">
        <v>348</v>
      </c>
      <c r="D1178">
        <v>2017</v>
      </c>
      <c r="E1178">
        <v>45</v>
      </c>
      <c r="F1178" s="57">
        <v>20.69</v>
      </c>
      <c r="G1178">
        <v>10</v>
      </c>
      <c r="H1178" s="58">
        <v>27.795400000000001</v>
      </c>
      <c r="I1178" s="57">
        <v>13.5418</v>
      </c>
      <c r="J1178" s="58" t="s">
        <v>1</v>
      </c>
      <c r="K1178">
        <v>4</v>
      </c>
      <c r="L1178" s="26">
        <v>3.5</v>
      </c>
      <c r="M1178" s="58">
        <v>78</v>
      </c>
      <c r="N1178" s="59" t="s">
        <v>48</v>
      </c>
      <c r="O1178" s="61" t="s">
        <v>999</v>
      </c>
    </row>
    <row r="1179" spans="1:15" ht="90" x14ac:dyDescent="0.25">
      <c r="A1179">
        <v>9524</v>
      </c>
      <c r="B1179">
        <v>22</v>
      </c>
      <c r="C1179" s="56" t="s">
        <v>348</v>
      </c>
      <c r="D1179">
        <v>2017</v>
      </c>
      <c r="E1179">
        <v>42</v>
      </c>
      <c r="F1179" s="57">
        <v>20.32</v>
      </c>
      <c r="G1179">
        <v>5</v>
      </c>
      <c r="H1179" s="58">
        <v>5.5991999999999997</v>
      </c>
      <c r="I1179" s="57">
        <v>-15.358599999999999</v>
      </c>
      <c r="J1179" s="58" t="s">
        <v>1</v>
      </c>
      <c r="K1179">
        <v>4</v>
      </c>
      <c r="L1179" s="26">
        <v>3.9</v>
      </c>
      <c r="M1179" s="58">
        <v>152</v>
      </c>
      <c r="N1179" s="59" t="s">
        <v>1000</v>
      </c>
      <c r="O1179" s="61" t="s">
        <v>665</v>
      </c>
    </row>
    <row r="1180" spans="1:15" ht="90" x14ac:dyDescent="0.25">
      <c r="A1180">
        <v>9525</v>
      </c>
      <c r="B1180">
        <v>22</v>
      </c>
      <c r="C1180" s="56" t="s">
        <v>348</v>
      </c>
      <c r="D1180">
        <v>2017</v>
      </c>
      <c r="E1180">
        <v>13</v>
      </c>
      <c r="F1180" s="57">
        <v>11.15</v>
      </c>
      <c r="G1180">
        <v>13</v>
      </c>
      <c r="H1180" s="58">
        <v>-25.119499999999999</v>
      </c>
      <c r="I1180" s="57">
        <v>30.723099999999999</v>
      </c>
      <c r="J1180" s="58" t="s">
        <v>1</v>
      </c>
      <c r="K1180">
        <v>4.0999999999999996</v>
      </c>
      <c r="L1180" s="26">
        <v>3.1</v>
      </c>
      <c r="M1180" s="58">
        <v>130</v>
      </c>
      <c r="N1180" s="59" t="s">
        <v>6</v>
      </c>
      <c r="O1180" s="61" t="s">
        <v>1001</v>
      </c>
    </row>
    <row r="1181" spans="1:15" ht="45" x14ac:dyDescent="0.25">
      <c r="A1181">
        <v>9526</v>
      </c>
      <c r="B1181">
        <v>22</v>
      </c>
      <c r="C1181" s="56" t="s">
        <v>348</v>
      </c>
      <c r="D1181">
        <v>2017</v>
      </c>
      <c r="E1181">
        <v>36</v>
      </c>
      <c r="F1181" s="57">
        <v>58.18</v>
      </c>
      <c r="G1181">
        <v>22</v>
      </c>
      <c r="H1181" s="58">
        <v>8.6860999999999997</v>
      </c>
      <c r="I1181" s="57">
        <v>-21.392800000000001</v>
      </c>
      <c r="J1181" s="58" t="s">
        <v>1</v>
      </c>
      <c r="K1181">
        <v>3.9</v>
      </c>
      <c r="L1181" s="26"/>
      <c r="M1181" s="58">
        <v>152</v>
      </c>
      <c r="N1181" s="59" t="s">
        <v>921</v>
      </c>
      <c r="O1181" s="61" t="s">
        <v>1002</v>
      </c>
    </row>
    <row r="1182" spans="1:15" ht="60" x14ac:dyDescent="0.25">
      <c r="A1182">
        <v>9527</v>
      </c>
      <c r="B1182">
        <v>23</v>
      </c>
      <c r="C1182" s="56" t="s">
        <v>348</v>
      </c>
      <c r="D1182">
        <v>2017</v>
      </c>
      <c r="E1182">
        <v>15</v>
      </c>
      <c r="F1182" s="57">
        <v>37.4</v>
      </c>
      <c r="G1182">
        <v>2</v>
      </c>
      <c r="H1182" s="58">
        <v>11.4787</v>
      </c>
      <c r="I1182" s="57">
        <v>-18.476199999999999</v>
      </c>
      <c r="J1182" s="58" t="s">
        <v>1</v>
      </c>
      <c r="K1182">
        <v>3.9</v>
      </c>
      <c r="L1182" s="26">
        <v>3.3</v>
      </c>
      <c r="M1182" s="58">
        <v>9</v>
      </c>
      <c r="N1182" s="59" t="s">
        <v>921</v>
      </c>
      <c r="O1182" s="61" t="s">
        <v>1003</v>
      </c>
    </row>
    <row r="1183" spans="1:15" ht="60" x14ac:dyDescent="0.25">
      <c r="A1183">
        <v>9528</v>
      </c>
      <c r="B1183">
        <v>23</v>
      </c>
      <c r="C1183" s="56" t="s">
        <v>348</v>
      </c>
      <c r="D1183">
        <v>2017</v>
      </c>
      <c r="E1183">
        <v>16</v>
      </c>
      <c r="F1183" s="57">
        <v>23.59</v>
      </c>
      <c r="G1183">
        <v>14</v>
      </c>
      <c r="H1183" s="58">
        <v>5.7350000000000003</v>
      </c>
      <c r="I1183" s="57">
        <v>-6.2793000000000001</v>
      </c>
      <c r="J1183" s="58" t="s">
        <v>1</v>
      </c>
      <c r="K1183">
        <v>4.4000000000000004</v>
      </c>
      <c r="L1183" s="26"/>
      <c r="M1183" s="58">
        <v>149</v>
      </c>
      <c r="N1183" s="59" t="s">
        <v>15</v>
      </c>
      <c r="O1183" s="61" t="s">
        <v>1004</v>
      </c>
    </row>
    <row r="1184" spans="1:15" ht="60" x14ac:dyDescent="0.25">
      <c r="A1184">
        <v>9529</v>
      </c>
      <c r="B1184">
        <v>25</v>
      </c>
      <c r="C1184" s="56" t="s">
        <v>348</v>
      </c>
      <c r="D1184">
        <v>2017</v>
      </c>
      <c r="E1184">
        <v>26</v>
      </c>
      <c r="F1184" s="57">
        <v>30.34</v>
      </c>
      <c r="G1184">
        <v>1</v>
      </c>
      <c r="H1184" s="58">
        <v>-26.409500000000001</v>
      </c>
      <c r="I1184" s="57">
        <v>27.87773</v>
      </c>
      <c r="J1184" s="58" t="s">
        <v>1</v>
      </c>
      <c r="K1184">
        <v>3.5</v>
      </c>
      <c r="L1184" s="26">
        <v>3.4</v>
      </c>
      <c r="M1184" s="58">
        <v>118</v>
      </c>
      <c r="N1184" s="59" t="s">
        <v>6</v>
      </c>
      <c r="O1184" s="61" t="s">
        <v>1005</v>
      </c>
    </row>
    <row r="1185" spans="1:15" ht="60" x14ac:dyDescent="0.25">
      <c r="A1185">
        <v>9530</v>
      </c>
      <c r="B1185">
        <v>25</v>
      </c>
      <c r="C1185" s="56" t="s">
        <v>348</v>
      </c>
      <c r="D1185">
        <v>2017</v>
      </c>
      <c r="E1185">
        <v>36</v>
      </c>
      <c r="F1185" s="57">
        <v>32.590000000000003</v>
      </c>
      <c r="G1185">
        <v>9</v>
      </c>
      <c r="H1185" s="58">
        <v>0.54659999999999997</v>
      </c>
      <c r="I1185" s="57">
        <v>39.413200000000003</v>
      </c>
      <c r="J1185" s="58" t="s">
        <v>1</v>
      </c>
      <c r="K1185">
        <v>3.6</v>
      </c>
      <c r="L1185" s="26">
        <v>2.4</v>
      </c>
      <c r="M1185" s="58">
        <v>124</v>
      </c>
      <c r="N1185" s="59" t="s">
        <v>13</v>
      </c>
      <c r="O1185" s="61" t="s">
        <v>1006</v>
      </c>
    </row>
    <row r="1186" spans="1:15" ht="60" x14ac:dyDescent="0.25">
      <c r="A1186">
        <v>9531</v>
      </c>
      <c r="B1186">
        <v>25</v>
      </c>
      <c r="C1186" s="56" t="s">
        <v>348</v>
      </c>
      <c r="D1186">
        <v>2017</v>
      </c>
      <c r="E1186">
        <v>4</v>
      </c>
      <c r="F1186" s="57">
        <v>0.53</v>
      </c>
      <c r="G1186">
        <v>11</v>
      </c>
      <c r="H1186" s="58">
        <v>-15.452999999999999</v>
      </c>
      <c r="I1186" s="57">
        <v>52.911099999999998</v>
      </c>
      <c r="J1186" s="58" t="s">
        <v>1</v>
      </c>
      <c r="K1186">
        <v>4.2</v>
      </c>
      <c r="L1186" s="26"/>
      <c r="M1186" s="58">
        <v>87</v>
      </c>
      <c r="N1186" s="59" t="s">
        <v>829</v>
      </c>
      <c r="O1186" s="61" t="s">
        <v>895</v>
      </c>
    </row>
    <row r="1187" spans="1:15" ht="60" x14ac:dyDescent="0.25">
      <c r="A1187">
        <v>9532</v>
      </c>
      <c r="B1187">
        <v>25</v>
      </c>
      <c r="C1187" s="56" t="s">
        <v>348</v>
      </c>
      <c r="D1187">
        <v>2017</v>
      </c>
      <c r="E1187">
        <v>21</v>
      </c>
      <c r="F1187" s="57">
        <v>26.45</v>
      </c>
      <c r="G1187">
        <v>11</v>
      </c>
      <c r="H1187" s="58">
        <v>6.6889000000000003</v>
      </c>
      <c r="I1187" s="57">
        <v>-5.8846999999999996</v>
      </c>
      <c r="J1187" s="58" t="s">
        <v>1</v>
      </c>
      <c r="K1187">
        <v>4.3</v>
      </c>
      <c r="L1187" s="26"/>
      <c r="M1187" s="58">
        <v>173</v>
      </c>
      <c r="N1187" s="59" t="s">
        <v>15</v>
      </c>
      <c r="O1187" s="61" t="s">
        <v>1007</v>
      </c>
    </row>
    <row r="1188" spans="1:15" ht="60" x14ac:dyDescent="0.25">
      <c r="A1188">
        <v>9533</v>
      </c>
      <c r="B1188">
        <v>25</v>
      </c>
      <c r="C1188" s="56" t="s">
        <v>348</v>
      </c>
      <c r="D1188">
        <v>2017</v>
      </c>
      <c r="E1188">
        <v>55</v>
      </c>
      <c r="F1188" s="57">
        <v>23.06</v>
      </c>
      <c r="G1188">
        <v>20</v>
      </c>
      <c r="H1188" s="58">
        <v>5.2534000000000001</v>
      </c>
      <c r="I1188" s="57">
        <v>6.3230000000000004</v>
      </c>
      <c r="J1188" s="58" t="s">
        <v>1</v>
      </c>
      <c r="K1188">
        <v>4.3</v>
      </c>
      <c r="L1188" s="26">
        <v>3.7</v>
      </c>
      <c r="M1188" s="58">
        <v>22</v>
      </c>
      <c r="N1188" s="59" t="s">
        <v>15</v>
      </c>
      <c r="O1188" s="61" t="s">
        <v>1008</v>
      </c>
    </row>
    <row r="1189" spans="1:15" ht="60" x14ac:dyDescent="0.25">
      <c r="A1189">
        <v>9534</v>
      </c>
      <c r="B1189">
        <v>26</v>
      </c>
      <c r="C1189" s="56" t="s">
        <v>348</v>
      </c>
      <c r="D1189">
        <v>2017</v>
      </c>
      <c r="E1189">
        <v>6</v>
      </c>
      <c r="F1189" s="57">
        <v>20.350000000000001</v>
      </c>
      <c r="G1189">
        <v>5</v>
      </c>
      <c r="H1189" s="58">
        <v>-0.28939999999999999</v>
      </c>
      <c r="I1189" s="57">
        <v>34.218899999999998</v>
      </c>
      <c r="J1189" s="58" t="s">
        <v>1</v>
      </c>
      <c r="K1189">
        <v>4.0999999999999996</v>
      </c>
      <c r="L1189" s="26">
        <v>2.6</v>
      </c>
      <c r="M1189" s="58">
        <v>86</v>
      </c>
      <c r="N1189" s="59" t="s">
        <v>54</v>
      </c>
      <c r="O1189" s="61" t="s">
        <v>1009</v>
      </c>
    </row>
    <row r="1190" spans="1:15" ht="90" x14ac:dyDescent="0.25">
      <c r="A1190">
        <v>9535</v>
      </c>
      <c r="B1190">
        <v>26</v>
      </c>
      <c r="C1190" s="56" t="s">
        <v>348</v>
      </c>
      <c r="D1190">
        <v>2017</v>
      </c>
      <c r="E1190">
        <v>46</v>
      </c>
      <c r="F1190" s="57">
        <v>13.01</v>
      </c>
      <c r="G1190">
        <v>15</v>
      </c>
      <c r="H1190" s="58">
        <v>9.2094000000000005</v>
      </c>
      <c r="I1190" s="57">
        <v>-16.826499999999999</v>
      </c>
      <c r="J1190" s="58" t="s">
        <v>1</v>
      </c>
      <c r="K1190">
        <v>3.9</v>
      </c>
      <c r="L1190" s="26">
        <v>3</v>
      </c>
      <c r="M1190" s="58">
        <v>148</v>
      </c>
      <c r="N1190" s="59" t="s">
        <v>1010</v>
      </c>
      <c r="O1190" s="61" t="s">
        <v>1002</v>
      </c>
    </row>
    <row r="1191" spans="1:15" ht="60" x14ac:dyDescent="0.25">
      <c r="A1191">
        <v>9536</v>
      </c>
      <c r="B1191">
        <v>27</v>
      </c>
      <c r="C1191" s="56" t="s">
        <v>348</v>
      </c>
      <c r="D1191">
        <v>2017</v>
      </c>
      <c r="E1191">
        <v>20</v>
      </c>
      <c r="F1191" s="57">
        <v>8.0299999999999994</v>
      </c>
      <c r="G1191">
        <v>0</v>
      </c>
      <c r="H1191" s="58">
        <v>35.133800000000001</v>
      </c>
      <c r="I1191" s="57">
        <v>-3.2353999999999998</v>
      </c>
      <c r="J1191" s="58" t="s">
        <v>1</v>
      </c>
      <c r="K1191">
        <v>3.6</v>
      </c>
      <c r="L1191" s="26">
        <v>3.9</v>
      </c>
      <c r="M1191" s="58">
        <v>81</v>
      </c>
      <c r="N1191" s="59" t="s">
        <v>1011</v>
      </c>
      <c r="O1191" s="61" t="s">
        <v>1012</v>
      </c>
    </row>
    <row r="1192" spans="1:15" ht="60" x14ac:dyDescent="0.25">
      <c r="A1192">
        <v>9537</v>
      </c>
      <c r="B1192">
        <v>27</v>
      </c>
      <c r="C1192" s="56" t="s">
        <v>348</v>
      </c>
      <c r="D1192">
        <v>2017</v>
      </c>
      <c r="E1192">
        <v>39</v>
      </c>
      <c r="F1192" s="57">
        <v>21.88</v>
      </c>
      <c r="G1192">
        <v>17</v>
      </c>
      <c r="H1192" s="58">
        <v>6.7388000000000003</v>
      </c>
      <c r="I1192" s="57">
        <v>-4.8955000000000002</v>
      </c>
      <c r="J1192" s="58" t="s">
        <v>1</v>
      </c>
      <c r="K1192">
        <v>4.2</v>
      </c>
      <c r="L1192" s="26"/>
      <c r="M1192" s="58">
        <v>149</v>
      </c>
      <c r="N1192" s="59" t="s">
        <v>15</v>
      </c>
      <c r="O1192" s="61" t="s">
        <v>1013</v>
      </c>
    </row>
    <row r="1193" spans="1:15" ht="45" x14ac:dyDescent="0.25">
      <c r="A1193">
        <v>9538</v>
      </c>
      <c r="B1193">
        <v>27</v>
      </c>
      <c r="C1193" s="56" t="s">
        <v>348</v>
      </c>
      <c r="D1193">
        <v>2017</v>
      </c>
      <c r="E1193">
        <v>46</v>
      </c>
      <c r="F1193" s="57">
        <v>58.97</v>
      </c>
      <c r="G1193">
        <v>22</v>
      </c>
      <c r="H1193" s="58">
        <v>13.1494</v>
      </c>
      <c r="I1193" s="57">
        <v>1.6861999999999999</v>
      </c>
      <c r="J1193" s="58" t="s">
        <v>1</v>
      </c>
      <c r="K1193">
        <v>3.9</v>
      </c>
      <c r="L1193" s="26"/>
      <c r="M1193" s="58">
        <v>101</v>
      </c>
      <c r="N1193" s="59" t="s">
        <v>15</v>
      </c>
      <c r="O1193" s="61" t="s">
        <v>1014</v>
      </c>
    </row>
    <row r="1194" spans="1:15" ht="75" x14ac:dyDescent="0.25">
      <c r="A1194">
        <v>9539</v>
      </c>
      <c r="B1194">
        <v>27</v>
      </c>
      <c r="C1194" s="56" t="s">
        <v>348</v>
      </c>
      <c r="D1194">
        <v>2017</v>
      </c>
      <c r="E1194">
        <v>47</v>
      </c>
      <c r="F1194" s="57">
        <v>2.4900000000000002</v>
      </c>
      <c r="G1194">
        <v>23</v>
      </c>
      <c r="H1194" s="58">
        <v>33.365600000000001</v>
      </c>
      <c r="I1194" s="57">
        <v>23.844000000000001</v>
      </c>
      <c r="J1194" s="58" t="s">
        <v>1</v>
      </c>
      <c r="K1194">
        <v>3.6</v>
      </c>
      <c r="L1194" s="26"/>
      <c r="M1194" s="58">
        <v>65</v>
      </c>
      <c r="N1194" s="59" t="s">
        <v>814</v>
      </c>
      <c r="O1194" s="61" t="s">
        <v>815</v>
      </c>
    </row>
    <row r="1195" spans="1:15" ht="30" x14ac:dyDescent="0.25">
      <c r="A1195">
        <v>9540</v>
      </c>
      <c r="B1195">
        <v>28</v>
      </c>
      <c r="C1195" s="56" t="s">
        <v>348</v>
      </c>
      <c r="D1195">
        <v>2017</v>
      </c>
      <c r="E1195">
        <v>59</v>
      </c>
      <c r="F1195" s="57">
        <v>52</v>
      </c>
      <c r="G1195">
        <v>11</v>
      </c>
      <c r="H1195" s="58">
        <v>8.9042999999999992</v>
      </c>
      <c r="I1195" s="57">
        <v>44.417000000000002</v>
      </c>
      <c r="J1195" s="58" t="s">
        <v>1</v>
      </c>
      <c r="K1195">
        <v>4</v>
      </c>
      <c r="L1195" s="26"/>
      <c r="M1195" s="58">
        <v>95</v>
      </c>
      <c r="N1195" s="59" t="s">
        <v>57</v>
      </c>
      <c r="O1195" s="61" t="s">
        <v>1015</v>
      </c>
    </row>
    <row r="1196" spans="1:15" ht="45" x14ac:dyDescent="0.25">
      <c r="A1196">
        <v>9541</v>
      </c>
      <c r="B1196">
        <v>29</v>
      </c>
      <c r="C1196" s="56" t="s">
        <v>348</v>
      </c>
      <c r="D1196">
        <v>2017</v>
      </c>
      <c r="E1196">
        <v>57</v>
      </c>
      <c r="F1196" s="57">
        <v>6.95</v>
      </c>
      <c r="G1196">
        <v>8</v>
      </c>
      <c r="H1196" s="58">
        <v>14.527200000000001</v>
      </c>
      <c r="I1196" s="57">
        <v>2.1307999999999998</v>
      </c>
      <c r="J1196" s="58" t="s">
        <v>1</v>
      </c>
      <c r="K1196">
        <v>4.2</v>
      </c>
      <c r="L1196" s="26"/>
      <c r="M1196" s="58">
        <v>110</v>
      </c>
      <c r="N1196" s="59" t="s">
        <v>15</v>
      </c>
      <c r="O1196" s="61" t="s">
        <v>1016</v>
      </c>
    </row>
    <row r="1197" spans="1:15" ht="90" x14ac:dyDescent="0.25">
      <c r="A1197">
        <v>9542</v>
      </c>
      <c r="B1197">
        <v>29</v>
      </c>
      <c r="C1197" s="56" t="s">
        <v>348</v>
      </c>
      <c r="D1197">
        <v>2017</v>
      </c>
      <c r="E1197">
        <v>5</v>
      </c>
      <c r="F1197" s="57">
        <v>30.64</v>
      </c>
      <c r="G1197">
        <v>12</v>
      </c>
      <c r="H1197" s="58">
        <v>-27.0701</v>
      </c>
      <c r="I1197" s="57">
        <v>22.7529</v>
      </c>
      <c r="J1197" s="58" t="s">
        <v>1</v>
      </c>
      <c r="K1197">
        <v>4.5</v>
      </c>
      <c r="L1197" s="26">
        <v>2.5</v>
      </c>
      <c r="M1197" s="58">
        <v>24</v>
      </c>
      <c r="N1197" s="59" t="s">
        <v>6</v>
      </c>
      <c r="O1197" s="61" t="s">
        <v>1017</v>
      </c>
    </row>
    <row r="1198" spans="1:15" ht="60" x14ac:dyDescent="0.25">
      <c r="A1198">
        <v>9543</v>
      </c>
      <c r="B1198">
        <v>30</v>
      </c>
      <c r="C1198" s="56" t="s">
        <v>348</v>
      </c>
      <c r="D1198">
        <v>2017</v>
      </c>
      <c r="E1198">
        <v>8</v>
      </c>
      <c r="F1198" s="57">
        <v>50.81</v>
      </c>
      <c r="G1198">
        <v>6</v>
      </c>
      <c r="H1198" s="58">
        <v>36.448</v>
      </c>
      <c r="I1198" s="57">
        <v>7.8840000000000003</v>
      </c>
      <c r="J1198" s="58" t="s">
        <v>1</v>
      </c>
      <c r="K1198">
        <v>4.2</v>
      </c>
      <c r="L1198" s="26"/>
      <c r="M1198" s="58">
        <v>65</v>
      </c>
      <c r="N1198" s="59" t="s">
        <v>10</v>
      </c>
      <c r="O1198" s="61" t="s">
        <v>1018</v>
      </c>
    </row>
    <row r="1199" spans="1:15" ht="90" x14ac:dyDescent="0.25">
      <c r="A1199">
        <v>9544</v>
      </c>
      <c r="B1199">
        <v>30</v>
      </c>
      <c r="C1199" s="56" t="s">
        <v>348</v>
      </c>
      <c r="D1199">
        <v>2017</v>
      </c>
      <c r="E1199">
        <v>7</v>
      </c>
      <c r="F1199" s="57">
        <v>31.96</v>
      </c>
      <c r="G1199">
        <v>9</v>
      </c>
      <c r="H1199" s="58">
        <v>-27.206399999999999</v>
      </c>
      <c r="I1199" s="57">
        <v>28.326499999999999</v>
      </c>
      <c r="J1199" s="58" t="s">
        <v>1</v>
      </c>
      <c r="K1199">
        <v>4.0999999999999996</v>
      </c>
      <c r="L1199" s="26">
        <v>2.7</v>
      </c>
      <c r="M1199" s="58">
        <v>141</v>
      </c>
      <c r="N1199" s="59" t="s">
        <v>6</v>
      </c>
      <c r="O1199" s="61" t="s">
        <v>1019</v>
      </c>
    </row>
    <row r="1200" spans="1:15" ht="90" x14ac:dyDescent="0.25">
      <c r="A1200">
        <v>9545</v>
      </c>
      <c r="B1200">
        <v>30</v>
      </c>
      <c r="C1200" s="56" t="s">
        <v>348</v>
      </c>
      <c r="D1200">
        <v>2017</v>
      </c>
      <c r="E1200">
        <v>50</v>
      </c>
      <c r="F1200" s="57">
        <v>39.08</v>
      </c>
      <c r="G1200">
        <v>11</v>
      </c>
      <c r="H1200" s="58">
        <v>-26.9542</v>
      </c>
      <c r="I1200" s="57">
        <v>28.419699999999999</v>
      </c>
      <c r="J1200" s="58" t="s">
        <v>1</v>
      </c>
      <c r="K1200">
        <v>4.5</v>
      </c>
      <c r="L1200" s="26">
        <v>2.2999999999999998</v>
      </c>
      <c r="M1200" s="58">
        <v>168</v>
      </c>
      <c r="N1200" s="59" t="s">
        <v>6</v>
      </c>
      <c r="O1200" s="61" t="s">
        <v>1020</v>
      </c>
    </row>
    <row r="1201" spans="1:15" ht="45" x14ac:dyDescent="0.25">
      <c r="A1201">
        <v>9546</v>
      </c>
      <c r="B1201">
        <v>30</v>
      </c>
      <c r="C1201" s="56" t="s">
        <v>348</v>
      </c>
      <c r="D1201">
        <v>2017</v>
      </c>
      <c r="E1201">
        <v>4</v>
      </c>
      <c r="F1201" s="57">
        <v>37.24</v>
      </c>
      <c r="G1201">
        <v>13</v>
      </c>
      <c r="H1201" s="58">
        <v>25.990400000000001</v>
      </c>
      <c r="I1201" s="57">
        <v>28.832799999999999</v>
      </c>
      <c r="J1201" s="58" t="s">
        <v>1</v>
      </c>
      <c r="K1201">
        <v>4</v>
      </c>
      <c r="L1201" s="26">
        <v>4.0999999999999996</v>
      </c>
      <c r="M1201" s="58">
        <v>23</v>
      </c>
      <c r="N1201" s="59" t="s">
        <v>72</v>
      </c>
      <c r="O1201" s="61" t="s">
        <v>1021</v>
      </c>
    </row>
    <row r="1202" spans="1:15" ht="120" x14ac:dyDescent="0.25">
      <c r="A1202">
        <v>9547</v>
      </c>
      <c r="B1202">
        <v>30</v>
      </c>
      <c r="C1202" s="56" t="s">
        <v>348</v>
      </c>
      <c r="D1202">
        <v>2017</v>
      </c>
      <c r="E1202">
        <v>48</v>
      </c>
      <c r="F1202" s="57">
        <v>35.31</v>
      </c>
      <c r="G1202">
        <v>21</v>
      </c>
      <c r="H1202" s="58">
        <v>-2.6762000000000001</v>
      </c>
      <c r="I1202" s="57">
        <v>28.751100000000001</v>
      </c>
      <c r="J1202" s="58" t="s">
        <v>1</v>
      </c>
      <c r="K1202">
        <v>4.5</v>
      </c>
      <c r="L1202" s="26">
        <v>4.0999999999999996</v>
      </c>
      <c r="M1202" s="58">
        <v>126</v>
      </c>
      <c r="N1202" s="59" t="s">
        <v>944</v>
      </c>
      <c r="O1202" s="61" t="s">
        <v>1022</v>
      </c>
    </row>
    <row r="1203" spans="1:15" ht="45" x14ac:dyDescent="0.25">
      <c r="A1203">
        <v>9548</v>
      </c>
      <c r="B1203">
        <v>1</v>
      </c>
      <c r="C1203" s="56" t="s">
        <v>424</v>
      </c>
      <c r="D1203">
        <v>2017</v>
      </c>
      <c r="E1203">
        <v>55</v>
      </c>
      <c r="F1203" s="57">
        <v>7.73</v>
      </c>
      <c r="G1203">
        <v>2</v>
      </c>
      <c r="H1203" s="58">
        <v>15.216900000000001</v>
      </c>
      <c r="I1203" s="57">
        <v>15.9322</v>
      </c>
      <c r="J1203" s="58" t="s">
        <v>1</v>
      </c>
      <c r="K1203">
        <v>4.0999999999999996</v>
      </c>
      <c r="L1203" s="26">
        <v>2.6</v>
      </c>
      <c r="M1203" s="58">
        <v>144</v>
      </c>
      <c r="N1203" s="59" t="s">
        <v>139</v>
      </c>
      <c r="O1203" s="61" t="s">
        <v>1023</v>
      </c>
    </row>
    <row r="1204" spans="1:15" ht="45" x14ac:dyDescent="0.25">
      <c r="A1204">
        <v>9549</v>
      </c>
      <c r="B1204">
        <v>1</v>
      </c>
      <c r="C1204" s="56" t="s">
        <v>424</v>
      </c>
      <c r="D1204">
        <v>2017</v>
      </c>
      <c r="E1204">
        <v>15</v>
      </c>
      <c r="F1204" s="57">
        <v>14.58</v>
      </c>
      <c r="G1204">
        <v>3</v>
      </c>
      <c r="H1204" s="58">
        <v>12.453099999999999</v>
      </c>
      <c r="I1204" s="57">
        <v>-10.9834</v>
      </c>
      <c r="J1204" s="58" t="s">
        <v>1</v>
      </c>
      <c r="K1204">
        <v>4.4000000000000004</v>
      </c>
      <c r="L1204" s="26"/>
      <c r="M1204" s="58">
        <v>146</v>
      </c>
      <c r="N1204" s="59" t="s">
        <v>15</v>
      </c>
      <c r="O1204" s="61" t="s">
        <v>1024</v>
      </c>
    </row>
    <row r="1205" spans="1:15" ht="60" x14ac:dyDescent="0.25">
      <c r="A1205">
        <v>9550</v>
      </c>
      <c r="B1205">
        <v>1</v>
      </c>
      <c r="C1205" s="56" t="s">
        <v>424</v>
      </c>
      <c r="D1205">
        <v>2017</v>
      </c>
      <c r="E1205">
        <v>42</v>
      </c>
      <c r="F1205" s="57">
        <v>3.47</v>
      </c>
      <c r="G1205">
        <v>13</v>
      </c>
      <c r="H1205" s="58">
        <v>6.1197999999999997</v>
      </c>
      <c r="I1205" s="57">
        <v>-6.1596000000000002</v>
      </c>
      <c r="J1205" s="58" t="s">
        <v>1</v>
      </c>
      <c r="K1205">
        <v>4.5</v>
      </c>
      <c r="L1205" s="26"/>
      <c r="M1205" s="58">
        <v>151</v>
      </c>
      <c r="N1205" s="59" t="s">
        <v>15</v>
      </c>
      <c r="O1205" s="61" t="s">
        <v>1025</v>
      </c>
    </row>
    <row r="1206" spans="1:15" ht="60" x14ac:dyDescent="0.25">
      <c r="A1206">
        <v>9551</v>
      </c>
      <c r="B1206">
        <v>1</v>
      </c>
      <c r="C1206" s="56" t="s">
        <v>424</v>
      </c>
      <c r="D1206">
        <v>2017</v>
      </c>
      <c r="E1206">
        <v>19</v>
      </c>
      <c r="F1206" s="57">
        <v>48.23</v>
      </c>
      <c r="G1206">
        <v>14</v>
      </c>
      <c r="H1206" s="58">
        <v>-27.292400000000001</v>
      </c>
      <c r="I1206" s="57">
        <v>28.444099999999999</v>
      </c>
      <c r="J1206" s="58" t="s">
        <v>1</v>
      </c>
      <c r="K1206">
        <v>2.6</v>
      </c>
      <c r="L1206" s="26"/>
      <c r="M1206" s="58">
        <v>153</v>
      </c>
      <c r="N1206" s="59" t="s">
        <v>6</v>
      </c>
      <c r="O1206" s="61" t="s">
        <v>1026</v>
      </c>
    </row>
    <row r="1207" spans="1:15" ht="45" x14ac:dyDescent="0.25">
      <c r="A1207">
        <v>9552</v>
      </c>
      <c r="B1207">
        <v>2</v>
      </c>
      <c r="C1207" s="56" t="s">
        <v>424</v>
      </c>
      <c r="D1207">
        <v>2017</v>
      </c>
      <c r="E1207">
        <v>33</v>
      </c>
      <c r="F1207" s="57">
        <v>43.66</v>
      </c>
      <c r="G1207">
        <v>1</v>
      </c>
      <c r="H1207" s="58">
        <v>5.6186999999999996</v>
      </c>
      <c r="I1207" s="57">
        <v>-5.69</v>
      </c>
      <c r="J1207" s="58" t="s">
        <v>1</v>
      </c>
      <c r="K1207">
        <v>3.9</v>
      </c>
      <c r="L1207" s="26"/>
      <c r="M1207" s="58">
        <v>133</v>
      </c>
      <c r="N1207" s="59" t="s">
        <v>15</v>
      </c>
      <c r="O1207" s="61" t="s">
        <v>993</v>
      </c>
    </row>
    <row r="1208" spans="1:15" ht="90" x14ac:dyDescent="0.25">
      <c r="A1208">
        <v>9553</v>
      </c>
      <c r="B1208">
        <v>2</v>
      </c>
      <c r="C1208" s="56" t="s">
        <v>424</v>
      </c>
      <c r="D1208">
        <v>2017</v>
      </c>
      <c r="E1208">
        <v>19</v>
      </c>
      <c r="F1208" s="57">
        <v>56.18</v>
      </c>
      <c r="G1208">
        <v>4</v>
      </c>
      <c r="H1208" s="58">
        <v>-22.534300000000002</v>
      </c>
      <c r="I1208" s="57">
        <v>49.691800000000001</v>
      </c>
      <c r="J1208" s="58" t="s">
        <v>1</v>
      </c>
      <c r="K1208">
        <v>3.7</v>
      </c>
      <c r="L1208" s="26"/>
      <c r="M1208" s="58">
        <v>176</v>
      </c>
      <c r="N1208" s="59" t="s">
        <v>829</v>
      </c>
      <c r="O1208" s="61" t="s">
        <v>1027</v>
      </c>
    </row>
    <row r="1209" spans="1:15" ht="75" x14ac:dyDescent="0.25">
      <c r="A1209">
        <v>9554</v>
      </c>
      <c r="B1209">
        <v>2</v>
      </c>
      <c r="C1209" s="56" t="s">
        <v>424</v>
      </c>
      <c r="D1209">
        <v>2017</v>
      </c>
      <c r="E1209">
        <v>19</v>
      </c>
      <c r="F1209" s="57">
        <v>39.840000000000003</v>
      </c>
      <c r="G1209">
        <v>9</v>
      </c>
      <c r="H1209" s="58">
        <v>-6.5153999999999996</v>
      </c>
      <c r="I1209" s="57">
        <v>33.668199999999999</v>
      </c>
      <c r="J1209" s="58" t="s">
        <v>1</v>
      </c>
      <c r="K1209">
        <v>4</v>
      </c>
      <c r="L1209" s="26">
        <v>3.5</v>
      </c>
      <c r="M1209" s="58">
        <v>163</v>
      </c>
      <c r="N1209" s="59" t="s">
        <v>96</v>
      </c>
      <c r="O1209" s="61" t="s">
        <v>1028</v>
      </c>
    </row>
    <row r="1210" spans="1:15" ht="150" x14ac:dyDescent="0.25">
      <c r="A1210">
        <v>9555</v>
      </c>
      <c r="B1210">
        <v>2</v>
      </c>
      <c r="C1210" s="56" t="s">
        <v>424</v>
      </c>
      <c r="D1210">
        <v>2017</v>
      </c>
      <c r="E1210">
        <v>20</v>
      </c>
      <c r="F1210" s="57">
        <v>25.45</v>
      </c>
      <c r="G1210">
        <v>17</v>
      </c>
      <c r="H1210" s="58">
        <v>-2.6379000000000001</v>
      </c>
      <c r="I1210" s="57">
        <v>28.5413</v>
      </c>
      <c r="J1210" s="58" t="s">
        <v>1</v>
      </c>
      <c r="K1210">
        <v>4.5999999999999996</v>
      </c>
      <c r="L1210" s="26"/>
      <c r="M1210" s="58">
        <v>125</v>
      </c>
      <c r="N1210" s="59" t="s">
        <v>1029</v>
      </c>
      <c r="O1210" s="61" t="s">
        <v>1030</v>
      </c>
    </row>
    <row r="1211" spans="1:15" ht="45" x14ac:dyDescent="0.25">
      <c r="A1211">
        <v>9556</v>
      </c>
      <c r="B1211">
        <v>2</v>
      </c>
      <c r="C1211" s="56" t="s">
        <v>424</v>
      </c>
      <c r="D1211">
        <v>2017</v>
      </c>
      <c r="E1211">
        <v>21</v>
      </c>
      <c r="F1211" s="57">
        <v>8.26</v>
      </c>
      <c r="G1211">
        <v>17</v>
      </c>
      <c r="H1211" s="58">
        <v>-8.3381000000000007</v>
      </c>
      <c r="I1211" s="57">
        <v>36.189799999999998</v>
      </c>
      <c r="J1211" s="58" t="s">
        <v>1</v>
      </c>
      <c r="K1211">
        <v>4.0999999999999996</v>
      </c>
      <c r="L1211" s="26">
        <v>4.2</v>
      </c>
      <c r="M1211" s="58">
        <v>108</v>
      </c>
      <c r="N1211" s="59" t="s">
        <v>96</v>
      </c>
      <c r="O1211" s="61" t="s">
        <v>1031</v>
      </c>
    </row>
    <row r="1212" spans="1:15" ht="45" x14ac:dyDescent="0.25">
      <c r="A1212">
        <v>9557</v>
      </c>
      <c r="B1212">
        <v>3</v>
      </c>
      <c r="C1212" s="56" t="s">
        <v>424</v>
      </c>
      <c r="D1212">
        <v>2017</v>
      </c>
      <c r="E1212">
        <v>3</v>
      </c>
      <c r="F1212" s="57">
        <v>43.17</v>
      </c>
      <c r="G1212">
        <v>5</v>
      </c>
      <c r="H1212" s="58">
        <v>25.4498</v>
      </c>
      <c r="I1212" s="57">
        <v>21.0488</v>
      </c>
      <c r="J1212" s="58" t="s">
        <v>1</v>
      </c>
      <c r="K1212">
        <v>3.4</v>
      </c>
      <c r="L1212" s="26"/>
      <c r="M1212" s="58">
        <v>125</v>
      </c>
      <c r="N1212" s="59" t="s">
        <v>48</v>
      </c>
      <c r="O1212" s="61" t="s">
        <v>1032</v>
      </c>
    </row>
    <row r="1213" spans="1:15" ht="60" x14ac:dyDescent="0.25">
      <c r="A1213">
        <v>9558</v>
      </c>
      <c r="B1213">
        <v>3</v>
      </c>
      <c r="C1213" s="56" t="s">
        <v>424</v>
      </c>
      <c r="D1213">
        <v>2017</v>
      </c>
      <c r="E1213">
        <v>15</v>
      </c>
      <c r="F1213" s="57">
        <v>25.49</v>
      </c>
      <c r="G1213">
        <v>16</v>
      </c>
      <c r="H1213" s="58">
        <v>-25.4115</v>
      </c>
      <c r="I1213" s="57">
        <v>27.842500000000001</v>
      </c>
      <c r="J1213" s="58" t="s">
        <v>1</v>
      </c>
      <c r="K1213">
        <v>4.0999999999999996</v>
      </c>
      <c r="L1213" s="26">
        <v>2.7</v>
      </c>
      <c r="M1213" s="58">
        <v>108</v>
      </c>
      <c r="N1213" s="59" t="s">
        <v>6</v>
      </c>
      <c r="O1213" s="61" t="s">
        <v>1033</v>
      </c>
    </row>
    <row r="1214" spans="1:15" ht="60" x14ac:dyDescent="0.25">
      <c r="A1214">
        <v>9559</v>
      </c>
      <c r="B1214">
        <v>4</v>
      </c>
      <c r="C1214" s="56" t="s">
        <v>424</v>
      </c>
      <c r="D1214">
        <v>2017</v>
      </c>
      <c r="E1214">
        <v>9</v>
      </c>
      <c r="F1214" s="57">
        <v>30.72</v>
      </c>
      <c r="G1214">
        <v>15</v>
      </c>
      <c r="H1214" s="58">
        <v>23.449000000000002</v>
      </c>
      <c r="I1214" s="57">
        <v>-11.2807</v>
      </c>
      <c r="J1214" s="58" t="s">
        <v>1</v>
      </c>
      <c r="K1214">
        <v>3.8</v>
      </c>
      <c r="L1214" s="26">
        <v>3.6</v>
      </c>
      <c r="M1214" s="58">
        <v>75</v>
      </c>
      <c r="N1214" s="59" t="s">
        <v>15</v>
      </c>
      <c r="O1214" s="61" t="s">
        <v>1034</v>
      </c>
    </row>
    <row r="1215" spans="1:15" ht="75" x14ac:dyDescent="0.25">
      <c r="A1215">
        <v>9560</v>
      </c>
      <c r="B1215">
        <v>4</v>
      </c>
      <c r="C1215" s="56" t="s">
        <v>424</v>
      </c>
      <c r="D1215">
        <v>2017</v>
      </c>
      <c r="E1215">
        <v>24</v>
      </c>
      <c r="F1215" s="57">
        <v>43.76</v>
      </c>
      <c r="G1215">
        <v>19</v>
      </c>
      <c r="H1215" s="58">
        <v>33.402000000000001</v>
      </c>
      <c r="I1215" s="57">
        <v>24.629100000000001</v>
      </c>
      <c r="J1215" s="58" t="s">
        <v>1</v>
      </c>
      <c r="K1215">
        <v>3.7</v>
      </c>
      <c r="L1215" s="26"/>
      <c r="M1215" s="58">
        <v>155</v>
      </c>
      <c r="N1215" s="59" t="s">
        <v>814</v>
      </c>
      <c r="O1215" s="61" t="s">
        <v>891</v>
      </c>
    </row>
    <row r="1216" spans="1:15" ht="45" x14ac:dyDescent="0.25">
      <c r="A1216">
        <v>9561</v>
      </c>
      <c r="B1216">
        <v>4</v>
      </c>
      <c r="C1216" s="56" t="s">
        <v>424</v>
      </c>
      <c r="D1216">
        <v>2017</v>
      </c>
      <c r="E1216">
        <v>56</v>
      </c>
      <c r="F1216" s="57">
        <v>59.05</v>
      </c>
      <c r="G1216">
        <v>23</v>
      </c>
      <c r="H1216" s="58">
        <v>-5.4996</v>
      </c>
      <c r="I1216" s="57">
        <v>36.072600000000001</v>
      </c>
      <c r="J1216" s="58" t="s">
        <v>1</v>
      </c>
      <c r="K1216">
        <v>4.0999999999999996</v>
      </c>
      <c r="L1216" s="26">
        <v>4.2</v>
      </c>
      <c r="M1216" s="58">
        <v>129</v>
      </c>
      <c r="N1216" s="59" t="s">
        <v>96</v>
      </c>
      <c r="O1216" s="61" t="s">
        <v>1035</v>
      </c>
    </row>
    <row r="1217" spans="1:15" ht="150" x14ac:dyDescent="0.25">
      <c r="A1217">
        <v>9562</v>
      </c>
      <c r="B1217">
        <v>5</v>
      </c>
      <c r="C1217" s="56" t="s">
        <v>424</v>
      </c>
      <c r="D1217">
        <v>2017</v>
      </c>
      <c r="E1217">
        <v>21</v>
      </c>
      <c r="F1217" s="57">
        <v>51.03</v>
      </c>
      <c r="G1217">
        <v>0</v>
      </c>
      <c r="H1217" s="58">
        <v>-2.0819999999999999</v>
      </c>
      <c r="I1217" s="57">
        <v>28.4222</v>
      </c>
      <c r="J1217" s="58" t="s">
        <v>1</v>
      </c>
      <c r="K1217">
        <v>4.2</v>
      </c>
      <c r="L1217" s="26"/>
      <c r="M1217" s="58">
        <v>139</v>
      </c>
      <c r="N1217" s="59" t="s">
        <v>1029</v>
      </c>
      <c r="O1217" s="61" t="s">
        <v>1036</v>
      </c>
    </row>
    <row r="1218" spans="1:15" ht="60" x14ac:dyDescent="0.25">
      <c r="A1218">
        <v>9563</v>
      </c>
      <c r="B1218">
        <v>5</v>
      </c>
      <c r="C1218" s="56" t="s">
        <v>424</v>
      </c>
      <c r="D1218">
        <v>2017</v>
      </c>
      <c r="E1218">
        <v>39</v>
      </c>
      <c r="F1218" s="57">
        <v>59.68</v>
      </c>
      <c r="G1218">
        <v>20</v>
      </c>
      <c r="H1218" s="58">
        <v>32.4146</v>
      </c>
      <c r="I1218" s="57">
        <v>-805416</v>
      </c>
      <c r="J1218" s="58" t="s">
        <v>1</v>
      </c>
      <c r="K1218">
        <v>3.5</v>
      </c>
      <c r="L1218" s="26"/>
      <c r="M1218" s="58">
        <v>58</v>
      </c>
      <c r="N1218" s="59" t="s">
        <v>28</v>
      </c>
      <c r="O1218" s="61" t="s">
        <v>1037</v>
      </c>
    </row>
    <row r="1219" spans="1:15" ht="75" x14ac:dyDescent="0.25">
      <c r="A1219">
        <v>9564</v>
      </c>
      <c r="B1219">
        <v>5</v>
      </c>
      <c r="C1219" s="56" t="s">
        <v>424</v>
      </c>
      <c r="D1219">
        <v>2017</v>
      </c>
      <c r="E1219">
        <v>42</v>
      </c>
      <c r="F1219" s="57">
        <v>52.3</v>
      </c>
      <c r="G1219">
        <v>23</v>
      </c>
      <c r="H1219" s="58">
        <v>13.1722</v>
      </c>
      <c r="I1219" s="57">
        <v>0.33250000000000002</v>
      </c>
      <c r="J1219" s="58" t="s">
        <v>1</v>
      </c>
      <c r="K1219">
        <v>4.3</v>
      </c>
      <c r="L1219" s="26"/>
      <c r="M1219" s="58">
        <v>179</v>
      </c>
      <c r="N1219" s="59" t="s">
        <v>15</v>
      </c>
      <c r="O1219" s="61" t="s">
        <v>1038</v>
      </c>
    </row>
    <row r="1220" spans="1:15" ht="60" x14ac:dyDescent="0.25">
      <c r="A1220">
        <v>9565</v>
      </c>
      <c r="B1220">
        <v>6</v>
      </c>
      <c r="C1220" s="56" t="s">
        <v>424</v>
      </c>
      <c r="D1220">
        <v>2017</v>
      </c>
      <c r="E1220">
        <v>7</v>
      </c>
      <c r="F1220" s="57">
        <v>40.479999999999997</v>
      </c>
      <c r="G1220">
        <v>18</v>
      </c>
      <c r="H1220" s="58">
        <v>-1.1599999999999999E-2</v>
      </c>
      <c r="I1220" s="57">
        <v>34.471800000000002</v>
      </c>
      <c r="J1220" s="58" t="s">
        <v>1</v>
      </c>
      <c r="K1220">
        <v>4.3</v>
      </c>
      <c r="L1220" s="26"/>
      <c r="M1220" s="58">
        <v>88</v>
      </c>
      <c r="N1220" s="59" t="s">
        <v>54</v>
      </c>
      <c r="O1220" s="61" t="s">
        <v>1039</v>
      </c>
    </row>
    <row r="1221" spans="1:15" ht="60" x14ac:dyDescent="0.25">
      <c r="A1221">
        <v>9566</v>
      </c>
      <c r="B1221">
        <v>6</v>
      </c>
      <c r="C1221" s="56" t="s">
        <v>424</v>
      </c>
      <c r="D1221">
        <v>2017</v>
      </c>
      <c r="E1221">
        <v>47</v>
      </c>
      <c r="F1221" s="57">
        <v>53.5</v>
      </c>
      <c r="G1221">
        <v>19</v>
      </c>
      <c r="H1221" s="58">
        <v>-28.6465</v>
      </c>
      <c r="I1221" s="57">
        <v>26.157800000000002</v>
      </c>
      <c r="J1221" s="58" t="s">
        <v>1</v>
      </c>
      <c r="K1221">
        <v>3.6</v>
      </c>
      <c r="L1221" s="26"/>
      <c r="M1221" s="58">
        <v>65</v>
      </c>
      <c r="N1221" s="59" t="s">
        <v>6</v>
      </c>
      <c r="O1221" s="61" t="s">
        <v>1040</v>
      </c>
    </row>
    <row r="1222" spans="1:15" ht="60" x14ac:dyDescent="0.25">
      <c r="A1222">
        <v>9567</v>
      </c>
      <c r="B1222">
        <v>6</v>
      </c>
      <c r="C1222" s="56" t="s">
        <v>424</v>
      </c>
      <c r="D1222">
        <v>2017</v>
      </c>
      <c r="E1222">
        <v>21</v>
      </c>
      <c r="F1222" s="57">
        <v>5.1100000000000003</v>
      </c>
      <c r="G1222">
        <v>20</v>
      </c>
      <c r="H1222" s="58">
        <v>-28.489899999999999</v>
      </c>
      <c r="I1222" s="57">
        <v>25.327200000000001</v>
      </c>
      <c r="J1222" s="58" t="s">
        <v>1</v>
      </c>
      <c r="K1222">
        <v>4.4000000000000004</v>
      </c>
      <c r="L1222" s="26"/>
      <c r="M1222" s="58">
        <v>28</v>
      </c>
      <c r="N1222" s="59" t="s">
        <v>6</v>
      </c>
      <c r="O1222" s="61" t="s">
        <v>1041</v>
      </c>
    </row>
    <row r="1223" spans="1:15" ht="90" x14ac:dyDescent="0.25">
      <c r="A1223">
        <v>9568</v>
      </c>
      <c r="B1223">
        <v>7</v>
      </c>
      <c r="C1223" s="56" t="s">
        <v>424</v>
      </c>
      <c r="D1223">
        <v>2017</v>
      </c>
      <c r="E1223">
        <v>58</v>
      </c>
      <c r="F1223" s="57">
        <v>41.11</v>
      </c>
      <c r="G1223">
        <v>2</v>
      </c>
      <c r="H1223" s="58">
        <v>-27.863700000000001</v>
      </c>
      <c r="I1223" s="57">
        <v>26.537099999999999</v>
      </c>
      <c r="J1223" s="58" t="s">
        <v>1</v>
      </c>
      <c r="K1223">
        <v>3.8</v>
      </c>
      <c r="L1223" s="26"/>
      <c r="M1223" s="58">
        <v>141</v>
      </c>
      <c r="N1223" s="59" t="s">
        <v>6</v>
      </c>
      <c r="O1223" s="61" t="s">
        <v>1042</v>
      </c>
    </row>
    <row r="1224" spans="1:15" ht="75" x14ac:dyDescent="0.25">
      <c r="A1224">
        <v>9569</v>
      </c>
      <c r="B1224">
        <v>7</v>
      </c>
      <c r="C1224" s="56" t="s">
        <v>424</v>
      </c>
      <c r="D1224">
        <v>2017</v>
      </c>
      <c r="E1224">
        <v>24</v>
      </c>
      <c r="F1224" s="57">
        <v>19.46</v>
      </c>
      <c r="G1224">
        <v>6</v>
      </c>
      <c r="H1224" s="58">
        <v>-28.326599999999999</v>
      </c>
      <c r="I1224" s="57">
        <v>26.830500000000001</v>
      </c>
      <c r="J1224" s="58" t="s">
        <v>1</v>
      </c>
      <c r="L1224" s="26"/>
      <c r="M1224" s="58">
        <v>166</v>
      </c>
      <c r="N1224" s="59" t="s">
        <v>6</v>
      </c>
      <c r="O1224" s="61" t="s">
        <v>1043</v>
      </c>
    </row>
    <row r="1225" spans="1:15" ht="60" x14ac:dyDescent="0.25">
      <c r="A1225">
        <v>9570</v>
      </c>
      <c r="B1225">
        <v>7</v>
      </c>
      <c r="C1225" s="56" t="s">
        <v>424</v>
      </c>
      <c r="D1225">
        <v>2017</v>
      </c>
      <c r="E1225">
        <v>7</v>
      </c>
      <c r="F1225" s="57">
        <v>20.39</v>
      </c>
      <c r="G1225">
        <v>16</v>
      </c>
      <c r="H1225" s="58">
        <v>-28.4071</v>
      </c>
      <c r="I1225" s="57">
        <v>18.834299999999999</v>
      </c>
      <c r="J1225" s="58" t="s">
        <v>1</v>
      </c>
      <c r="K1225">
        <v>4.0999999999999996</v>
      </c>
      <c r="L1225" s="26">
        <v>2.9</v>
      </c>
      <c r="M1225" s="58">
        <v>176</v>
      </c>
      <c r="N1225" s="59" t="s">
        <v>291</v>
      </c>
      <c r="O1225" s="61" t="s">
        <v>1044</v>
      </c>
    </row>
    <row r="1226" spans="1:15" ht="45" x14ac:dyDescent="0.25">
      <c r="A1226">
        <v>9571</v>
      </c>
      <c r="B1226">
        <v>7</v>
      </c>
      <c r="C1226" s="56" t="s">
        <v>424</v>
      </c>
      <c r="D1226">
        <v>2017</v>
      </c>
      <c r="E1226">
        <v>39</v>
      </c>
      <c r="F1226" s="57">
        <v>13.02</v>
      </c>
      <c r="G1226">
        <v>22</v>
      </c>
      <c r="H1226" s="58">
        <v>14.4216</v>
      </c>
      <c r="I1226" s="57">
        <v>1.1106</v>
      </c>
      <c r="J1226" s="58" t="s">
        <v>1</v>
      </c>
      <c r="L1226" s="26">
        <v>3</v>
      </c>
      <c r="M1226" s="58">
        <v>5</v>
      </c>
      <c r="N1226" s="59" t="s">
        <v>15</v>
      </c>
      <c r="O1226" s="61" t="s">
        <v>1045</v>
      </c>
    </row>
    <row r="1227" spans="1:15" ht="45" x14ac:dyDescent="0.25">
      <c r="A1227">
        <v>9572</v>
      </c>
      <c r="B1227">
        <v>8</v>
      </c>
      <c r="C1227" s="56" t="s">
        <v>424</v>
      </c>
      <c r="D1227">
        <v>2017</v>
      </c>
      <c r="E1227">
        <v>37</v>
      </c>
      <c r="F1227" s="57">
        <v>11.21</v>
      </c>
      <c r="G1227">
        <v>9</v>
      </c>
      <c r="H1227" s="58">
        <v>-0.72009999999999996</v>
      </c>
      <c r="I1227" s="57">
        <v>37.411499999999997</v>
      </c>
      <c r="J1227" s="58" t="s">
        <v>1</v>
      </c>
      <c r="K1227">
        <v>4.4000000000000004</v>
      </c>
      <c r="L1227" s="26"/>
      <c r="M1227" s="58">
        <v>103</v>
      </c>
      <c r="N1227" s="59" t="s">
        <v>13</v>
      </c>
      <c r="O1227" s="61" t="s">
        <v>1046</v>
      </c>
    </row>
    <row r="1228" spans="1:15" ht="60" x14ac:dyDescent="0.25">
      <c r="A1228">
        <v>9573</v>
      </c>
      <c r="B1228">
        <v>8</v>
      </c>
      <c r="C1228" s="56" t="s">
        <v>424</v>
      </c>
      <c r="D1228">
        <v>2017</v>
      </c>
      <c r="E1228">
        <v>36</v>
      </c>
      <c r="F1228" s="57">
        <v>57.04</v>
      </c>
      <c r="G1228">
        <v>14</v>
      </c>
      <c r="H1228" s="58">
        <v>-28.582899999999999</v>
      </c>
      <c r="I1228" s="57">
        <v>27.970800000000001</v>
      </c>
      <c r="J1228" s="58" t="s">
        <v>1</v>
      </c>
      <c r="K1228">
        <v>4.2</v>
      </c>
      <c r="L1228" s="26">
        <v>2.2999999999999998</v>
      </c>
      <c r="M1228" s="58">
        <v>4</v>
      </c>
      <c r="N1228" s="59" t="s">
        <v>6</v>
      </c>
      <c r="O1228" s="61" t="s">
        <v>1047</v>
      </c>
    </row>
    <row r="1229" spans="1:15" ht="60" x14ac:dyDescent="0.25">
      <c r="A1229">
        <v>9574</v>
      </c>
      <c r="B1229">
        <v>9</v>
      </c>
      <c r="C1229" s="56" t="s">
        <v>424</v>
      </c>
      <c r="D1229">
        <v>2017</v>
      </c>
      <c r="E1229">
        <v>0</v>
      </c>
      <c r="F1229" s="57">
        <v>11.93</v>
      </c>
      <c r="G1229">
        <v>0</v>
      </c>
      <c r="H1229" s="58">
        <v>33.789900000000003</v>
      </c>
      <c r="I1229" s="57">
        <v>-0.90839999999999999</v>
      </c>
      <c r="J1229" s="58" t="s">
        <v>1</v>
      </c>
      <c r="K1229">
        <v>4.2</v>
      </c>
      <c r="L1229" s="26">
        <v>3.6</v>
      </c>
      <c r="M1229" s="58">
        <v>160</v>
      </c>
      <c r="N1229" s="59" t="s">
        <v>10</v>
      </c>
      <c r="O1229" s="61" t="s">
        <v>1048</v>
      </c>
    </row>
    <row r="1230" spans="1:15" ht="45" x14ac:dyDescent="0.25">
      <c r="A1230">
        <v>9575</v>
      </c>
      <c r="B1230">
        <v>9</v>
      </c>
      <c r="C1230" s="56" t="s">
        <v>424</v>
      </c>
      <c r="D1230">
        <v>2017</v>
      </c>
      <c r="E1230">
        <v>9</v>
      </c>
      <c r="F1230" s="57">
        <v>51.75</v>
      </c>
      <c r="G1230">
        <v>13</v>
      </c>
      <c r="H1230" s="58">
        <v>25.6799</v>
      </c>
      <c r="I1230" s="57">
        <v>24.5564</v>
      </c>
      <c r="J1230" s="58" t="s">
        <v>1</v>
      </c>
      <c r="K1230">
        <v>3.8</v>
      </c>
      <c r="L1230" s="26">
        <v>4.0999999999999996</v>
      </c>
      <c r="M1230" s="58">
        <v>157</v>
      </c>
      <c r="N1230" s="59" t="s">
        <v>48</v>
      </c>
      <c r="O1230" s="61" t="s">
        <v>1049</v>
      </c>
    </row>
    <row r="1231" spans="1:15" ht="60" x14ac:dyDescent="0.25">
      <c r="A1231">
        <v>9576</v>
      </c>
      <c r="B1231">
        <v>9</v>
      </c>
      <c r="C1231" s="56" t="s">
        <v>424</v>
      </c>
      <c r="D1231">
        <v>2017</v>
      </c>
      <c r="E1231">
        <v>15</v>
      </c>
      <c r="F1231" s="57">
        <v>25.55</v>
      </c>
      <c r="G1231">
        <v>18</v>
      </c>
      <c r="H1231" s="58">
        <v>33.7881</v>
      </c>
      <c r="I1231" s="57">
        <v>3.1663999999999999</v>
      </c>
      <c r="J1231" s="58" t="s">
        <v>1</v>
      </c>
      <c r="K1231">
        <v>3.7</v>
      </c>
      <c r="L1231" s="26"/>
      <c r="M1231" s="58">
        <v>127</v>
      </c>
      <c r="N1231" s="59" t="s">
        <v>10</v>
      </c>
      <c r="O1231" s="61" t="s">
        <v>1050</v>
      </c>
    </row>
    <row r="1232" spans="1:15" ht="45" x14ac:dyDescent="0.25">
      <c r="A1232">
        <v>9577</v>
      </c>
      <c r="B1232">
        <v>9</v>
      </c>
      <c r="C1232" s="56" t="s">
        <v>424</v>
      </c>
      <c r="D1232">
        <v>2017</v>
      </c>
      <c r="E1232">
        <v>17</v>
      </c>
      <c r="F1232" s="57">
        <v>56.36</v>
      </c>
      <c r="G1232">
        <v>18</v>
      </c>
      <c r="H1232" s="58">
        <v>14.0746</v>
      </c>
      <c r="I1232" s="57">
        <v>-20.287700000000001</v>
      </c>
      <c r="J1232" s="58" t="s">
        <v>1</v>
      </c>
      <c r="K1232">
        <v>3.5</v>
      </c>
      <c r="L1232" s="26"/>
      <c r="M1232" s="58">
        <v>164</v>
      </c>
      <c r="N1232" s="59" t="s">
        <v>921</v>
      </c>
      <c r="O1232" s="61" t="s">
        <v>1051</v>
      </c>
    </row>
    <row r="1233" spans="1:15" ht="60" x14ac:dyDescent="0.25">
      <c r="A1233">
        <v>9578</v>
      </c>
      <c r="B1233">
        <v>10</v>
      </c>
      <c r="C1233" s="56" t="s">
        <v>424</v>
      </c>
      <c r="D1233">
        <v>2017</v>
      </c>
      <c r="E1233">
        <v>17</v>
      </c>
      <c r="F1233" s="57">
        <v>45.9</v>
      </c>
      <c r="G1233">
        <v>9</v>
      </c>
      <c r="H1233" s="58">
        <v>35.427300000000002</v>
      </c>
      <c r="I1233" s="57">
        <v>-4.8007999999999997</v>
      </c>
      <c r="J1233" s="58" t="s">
        <v>1</v>
      </c>
      <c r="K1233">
        <v>3.9</v>
      </c>
      <c r="L1233" s="26">
        <v>2.9</v>
      </c>
      <c r="M1233" s="58">
        <v>170</v>
      </c>
      <c r="N1233" s="59" t="s">
        <v>1011</v>
      </c>
      <c r="O1233" s="61" t="s">
        <v>1052</v>
      </c>
    </row>
    <row r="1234" spans="1:15" ht="60" x14ac:dyDescent="0.25">
      <c r="A1234">
        <v>9579</v>
      </c>
      <c r="B1234">
        <v>10</v>
      </c>
      <c r="C1234" s="56" t="s">
        <v>424</v>
      </c>
      <c r="D1234">
        <v>2017</v>
      </c>
      <c r="E1234">
        <v>11</v>
      </c>
      <c r="F1234" s="57">
        <v>2.21</v>
      </c>
      <c r="G1234">
        <v>21</v>
      </c>
      <c r="H1234" s="58">
        <v>6.4137000000000004</v>
      </c>
      <c r="I1234" s="57">
        <v>-4.0552000000000001</v>
      </c>
      <c r="J1234" s="58" t="s">
        <v>1</v>
      </c>
      <c r="K1234">
        <v>3.9</v>
      </c>
      <c r="L1234" s="26"/>
      <c r="M1234" s="58">
        <v>14</v>
      </c>
      <c r="N1234" s="59" t="s">
        <v>15</v>
      </c>
      <c r="O1234" s="61" t="s">
        <v>1053</v>
      </c>
    </row>
    <row r="1235" spans="1:15" ht="45" x14ac:dyDescent="0.25">
      <c r="A1235">
        <v>9580</v>
      </c>
      <c r="B1235">
        <v>12</v>
      </c>
      <c r="C1235" s="56" t="s">
        <v>424</v>
      </c>
      <c r="D1235">
        <v>2017</v>
      </c>
      <c r="E1235">
        <v>8</v>
      </c>
      <c r="F1235" s="57">
        <v>3.93</v>
      </c>
      <c r="G1235">
        <v>5</v>
      </c>
      <c r="H1235" s="58">
        <v>13.9245</v>
      </c>
      <c r="I1235" s="57">
        <v>1.9009</v>
      </c>
      <c r="J1235" s="58" t="s">
        <v>1</v>
      </c>
      <c r="K1235">
        <v>4</v>
      </c>
      <c r="L1235" s="26"/>
      <c r="M1235" s="58">
        <v>110</v>
      </c>
      <c r="N1235" s="59" t="s">
        <v>15</v>
      </c>
      <c r="O1235" s="61" t="s">
        <v>1054</v>
      </c>
    </row>
    <row r="1236" spans="1:15" ht="75" x14ac:dyDescent="0.25">
      <c r="A1236">
        <v>9581</v>
      </c>
      <c r="B1236">
        <v>12</v>
      </c>
      <c r="C1236" s="56" t="s">
        <v>424</v>
      </c>
      <c r="D1236">
        <v>2017</v>
      </c>
      <c r="E1236">
        <v>3</v>
      </c>
      <c r="F1236" s="57">
        <v>30.15</v>
      </c>
      <c r="G1236">
        <v>10</v>
      </c>
      <c r="H1236" s="58">
        <v>37.823300000000003</v>
      </c>
      <c r="I1236" s="57">
        <v>4.7176999999999998</v>
      </c>
      <c r="J1236" s="58" t="s">
        <v>1</v>
      </c>
      <c r="K1236">
        <v>4.0999999999999996</v>
      </c>
      <c r="L1236" s="26"/>
      <c r="M1236" s="58">
        <v>50</v>
      </c>
      <c r="N1236" s="59" t="s">
        <v>1055</v>
      </c>
      <c r="O1236" s="61" t="s">
        <v>1056</v>
      </c>
    </row>
    <row r="1237" spans="1:15" ht="60" x14ac:dyDescent="0.25">
      <c r="A1237">
        <v>9582</v>
      </c>
      <c r="B1237">
        <v>12</v>
      </c>
      <c r="C1237" s="56" t="s">
        <v>424</v>
      </c>
      <c r="D1237">
        <v>2017</v>
      </c>
      <c r="E1237">
        <v>14</v>
      </c>
      <c r="F1237" s="57">
        <v>49.4</v>
      </c>
      <c r="G1237">
        <v>17</v>
      </c>
      <c r="H1237" s="58">
        <v>-25.590299999999999</v>
      </c>
      <c r="I1237" s="57">
        <v>27.557500000000001</v>
      </c>
      <c r="J1237" s="58" t="s">
        <v>1</v>
      </c>
      <c r="K1237">
        <v>4</v>
      </c>
      <c r="L1237" s="26">
        <v>2.7</v>
      </c>
      <c r="M1237" s="58">
        <v>119</v>
      </c>
      <c r="N1237" s="59" t="s">
        <v>6</v>
      </c>
      <c r="O1237" s="61" t="s">
        <v>1057</v>
      </c>
    </row>
    <row r="1238" spans="1:15" ht="45" x14ac:dyDescent="0.25">
      <c r="A1238">
        <v>9583</v>
      </c>
      <c r="B1238">
        <v>12</v>
      </c>
      <c r="C1238" s="56" t="s">
        <v>424</v>
      </c>
      <c r="D1238">
        <v>2017</v>
      </c>
      <c r="E1238">
        <v>11</v>
      </c>
      <c r="F1238" s="57">
        <v>53.86</v>
      </c>
      <c r="G1238">
        <v>20</v>
      </c>
      <c r="H1238" s="58">
        <v>14.452299999999999</v>
      </c>
      <c r="I1238" s="57">
        <v>1.3668</v>
      </c>
      <c r="J1238" s="58" t="s">
        <v>1</v>
      </c>
      <c r="K1238">
        <v>4.0999999999999996</v>
      </c>
      <c r="L1238" s="26"/>
      <c r="M1238" s="58">
        <v>84</v>
      </c>
      <c r="N1238" s="59" t="s">
        <v>15</v>
      </c>
      <c r="O1238" s="61" t="s">
        <v>1045</v>
      </c>
    </row>
    <row r="1239" spans="1:15" ht="90" x14ac:dyDescent="0.25">
      <c r="A1239">
        <v>9584</v>
      </c>
      <c r="B1239">
        <v>12</v>
      </c>
      <c r="C1239" s="56" t="s">
        <v>424</v>
      </c>
      <c r="D1239">
        <v>2017</v>
      </c>
      <c r="E1239">
        <v>9</v>
      </c>
      <c r="F1239" s="57">
        <v>23.44</v>
      </c>
      <c r="G1239">
        <v>22</v>
      </c>
      <c r="H1239" s="58">
        <v>21.356100000000001</v>
      </c>
      <c r="I1239" s="57">
        <v>7.5631000000000004</v>
      </c>
      <c r="J1239" s="58" t="s">
        <v>1</v>
      </c>
      <c r="K1239">
        <v>3.6</v>
      </c>
      <c r="L1239" s="26"/>
      <c r="M1239" s="58">
        <v>119</v>
      </c>
      <c r="N1239" s="59" t="s">
        <v>110</v>
      </c>
      <c r="O1239" s="61" t="s">
        <v>1058</v>
      </c>
    </row>
    <row r="1240" spans="1:15" ht="45" x14ac:dyDescent="0.25">
      <c r="A1240">
        <v>9585</v>
      </c>
      <c r="B1240">
        <v>13</v>
      </c>
      <c r="C1240" s="56" t="s">
        <v>424</v>
      </c>
      <c r="D1240">
        <v>2017</v>
      </c>
      <c r="E1240">
        <v>44</v>
      </c>
      <c r="F1240" s="57">
        <v>38.74</v>
      </c>
      <c r="G1240">
        <v>1</v>
      </c>
      <c r="H1240" s="58">
        <v>30.203700000000001</v>
      </c>
      <c r="I1240" s="57">
        <v>19.436900000000001</v>
      </c>
      <c r="J1240" s="58" t="s">
        <v>1</v>
      </c>
      <c r="K1240">
        <v>3.9</v>
      </c>
      <c r="L1240" s="26">
        <v>3.2</v>
      </c>
      <c r="M1240" s="58">
        <v>114</v>
      </c>
      <c r="N1240" s="59" t="s">
        <v>135</v>
      </c>
      <c r="O1240" s="61" t="s">
        <v>1059</v>
      </c>
    </row>
    <row r="1241" spans="1:15" ht="60" x14ac:dyDescent="0.25">
      <c r="A1241">
        <v>9586</v>
      </c>
      <c r="B1241">
        <v>13</v>
      </c>
      <c r="C1241" s="56" t="s">
        <v>424</v>
      </c>
      <c r="D1241">
        <v>2017</v>
      </c>
      <c r="E1241">
        <v>48</v>
      </c>
      <c r="F1241" s="57">
        <v>20.16</v>
      </c>
      <c r="G1241">
        <v>9</v>
      </c>
      <c r="H1241" s="58">
        <v>-25.396000000000001</v>
      </c>
      <c r="I1241" s="57">
        <v>29.837700000000002</v>
      </c>
      <c r="J1241" s="58" t="s">
        <v>1</v>
      </c>
      <c r="K1241">
        <v>4.0999999999999996</v>
      </c>
      <c r="L1241" s="26">
        <v>3.1</v>
      </c>
      <c r="M1241" s="58">
        <v>127</v>
      </c>
      <c r="N1241" s="59" t="s">
        <v>6</v>
      </c>
      <c r="O1241" s="61" t="s">
        <v>1060</v>
      </c>
    </row>
    <row r="1242" spans="1:15" ht="60" x14ac:dyDescent="0.25">
      <c r="A1242">
        <v>9587</v>
      </c>
      <c r="B1242">
        <v>13</v>
      </c>
      <c r="C1242" s="56" t="s">
        <v>424</v>
      </c>
      <c r="D1242">
        <v>2017</v>
      </c>
      <c r="E1242">
        <v>12</v>
      </c>
      <c r="F1242" s="57">
        <v>6.85</v>
      </c>
      <c r="G1242">
        <v>12</v>
      </c>
      <c r="H1242" s="58">
        <v>13.5589</v>
      </c>
      <c r="I1242" s="57">
        <v>-0.2596</v>
      </c>
      <c r="J1242" s="58" t="s">
        <v>1</v>
      </c>
      <c r="K1242">
        <v>4.2</v>
      </c>
      <c r="L1242" s="26">
        <v>3.5</v>
      </c>
      <c r="M1242" s="58">
        <v>179</v>
      </c>
      <c r="N1242" s="59" t="s">
        <v>15</v>
      </c>
      <c r="O1242" s="61" t="s">
        <v>1061</v>
      </c>
    </row>
    <row r="1243" spans="1:15" ht="105" x14ac:dyDescent="0.25">
      <c r="A1243">
        <v>9588</v>
      </c>
      <c r="B1243">
        <v>13</v>
      </c>
      <c r="C1243" s="56" t="s">
        <v>424</v>
      </c>
      <c r="D1243">
        <v>2017</v>
      </c>
      <c r="E1243">
        <v>48</v>
      </c>
      <c r="F1243" s="57">
        <v>42.53</v>
      </c>
      <c r="G1243">
        <v>13</v>
      </c>
      <c r="H1243" s="58">
        <v>-27.5184</v>
      </c>
      <c r="I1243" s="57">
        <v>26.155799999999999</v>
      </c>
      <c r="J1243" s="58" t="s">
        <v>1</v>
      </c>
      <c r="K1243">
        <v>4.5</v>
      </c>
      <c r="L1243" s="26"/>
      <c r="M1243" s="58">
        <v>112</v>
      </c>
      <c r="N1243" s="59" t="s">
        <v>6</v>
      </c>
      <c r="O1243" s="61" t="s">
        <v>1062</v>
      </c>
    </row>
    <row r="1244" spans="1:15" ht="60" x14ac:dyDescent="0.25">
      <c r="A1244">
        <v>9589</v>
      </c>
      <c r="B1244">
        <v>13</v>
      </c>
      <c r="C1244" s="56" t="s">
        <v>424</v>
      </c>
      <c r="D1244">
        <v>2017</v>
      </c>
      <c r="E1244">
        <v>42</v>
      </c>
      <c r="F1244" s="57">
        <v>38.76</v>
      </c>
      <c r="G1244">
        <v>14</v>
      </c>
      <c r="H1244" s="58">
        <v>-28.7163</v>
      </c>
      <c r="I1244" s="57">
        <v>26.541599999999999</v>
      </c>
      <c r="J1244" s="58" t="s">
        <v>1</v>
      </c>
      <c r="L1244" s="26"/>
      <c r="M1244" s="58">
        <v>2</v>
      </c>
      <c r="N1244" s="59" t="s">
        <v>6</v>
      </c>
      <c r="O1244" s="61" t="s">
        <v>1063</v>
      </c>
    </row>
    <row r="1245" spans="1:15" ht="150" x14ac:dyDescent="0.25">
      <c r="A1245">
        <v>9590</v>
      </c>
      <c r="B1245">
        <v>14</v>
      </c>
      <c r="C1245" s="56" t="s">
        <v>424</v>
      </c>
      <c r="D1245">
        <v>2017</v>
      </c>
      <c r="E1245">
        <v>2</v>
      </c>
      <c r="F1245" s="57">
        <v>9.9</v>
      </c>
      <c r="G1245">
        <v>3</v>
      </c>
      <c r="H1245" s="58">
        <v>-26.3582</v>
      </c>
      <c r="I1245" s="57">
        <v>27.442699999999999</v>
      </c>
      <c r="J1245" s="58" t="s">
        <v>1</v>
      </c>
      <c r="K1245">
        <v>3.5</v>
      </c>
      <c r="L1245" s="26">
        <v>3.4</v>
      </c>
      <c r="M1245" s="58">
        <v>113</v>
      </c>
      <c r="N1245" s="59" t="s">
        <v>6</v>
      </c>
      <c r="O1245" s="61" t="s">
        <v>1064</v>
      </c>
    </row>
    <row r="1246" spans="1:15" ht="60" x14ac:dyDescent="0.25">
      <c r="A1246">
        <v>9591</v>
      </c>
      <c r="B1246">
        <v>15</v>
      </c>
      <c r="C1246" s="56" t="s">
        <v>424</v>
      </c>
      <c r="D1246">
        <v>2017</v>
      </c>
      <c r="E1246">
        <v>20</v>
      </c>
      <c r="F1246" s="57">
        <v>34.07</v>
      </c>
      <c r="G1246">
        <v>2</v>
      </c>
      <c r="H1246" s="58">
        <v>-31.216899999999999</v>
      </c>
      <c r="I1246" s="57">
        <v>20.090499999999999</v>
      </c>
      <c r="J1246" s="58" t="s">
        <v>1</v>
      </c>
      <c r="K1246">
        <v>4</v>
      </c>
      <c r="L1246" s="26">
        <v>4.7</v>
      </c>
      <c r="M1246" s="58">
        <v>80</v>
      </c>
      <c r="N1246" s="59" t="s">
        <v>6</v>
      </c>
      <c r="O1246" s="61" t="s">
        <v>1065</v>
      </c>
    </row>
    <row r="1247" spans="1:15" ht="75" x14ac:dyDescent="0.25">
      <c r="A1247">
        <v>9592</v>
      </c>
      <c r="B1247">
        <v>15</v>
      </c>
      <c r="C1247" s="56" t="s">
        <v>424</v>
      </c>
      <c r="D1247">
        <v>2017</v>
      </c>
      <c r="E1247">
        <v>51</v>
      </c>
      <c r="F1247" s="57">
        <v>14.13</v>
      </c>
      <c r="G1247">
        <v>23</v>
      </c>
      <c r="H1247" s="58">
        <v>-1.6779999999999999</v>
      </c>
      <c r="I1247" s="57">
        <v>35.560899999999997</v>
      </c>
      <c r="J1247" s="58" t="s">
        <v>1</v>
      </c>
      <c r="K1247">
        <v>4.5</v>
      </c>
      <c r="L1247" s="26"/>
      <c r="M1247" s="58">
        <v>176</v>
      </c>
      <c r="N1247" s="59" t="s">
        <v>13</v>
      </c>
      <c r="O1247" s="61" t="s">
        <v>1066</v>
      </c>
    </row>
    <row r="1248" spans="1:15" ht="45" x14ac:dyDescent="0.25">
      <c r="A1248">
        <v>9593</v>
      </c>
      <c r="B1248">
        <v>16</v>
      </c>
      <c r="C1248" s="56" t="s">
        <v>424</v>
      </c>
      <c r="D1248">
        <v>2017</v>
      </c>
      <c r="E1248">
        <v>56</v>
      </c>
      <c r="F1248" s="57">
        <v>17.600000000000001</v>
      </c>
      <c r="G1248">
        <v>16</v>
      </c>
      <c r="H1248" s="58">
        <v>27.2469</v>
      </c>
      <c r="I1248" s="57">
        <v>28.401</v>
      </c>
      <c r="J1248" s="58" t="s">
        <v>1</v>
      </c>
      <c r="K1248">
        <v>4.3</v>
      </c>
      <c r="L1248" s="26">
        <v>4</v>
      </c>
      <c r="M1248" s="58">
        <v>150</v>
      </c>
      <c r="N1248" s="59" t="s">
        <v>72</v>
      </c>
      <c r="O1248" s="61" t="s">
        <v>1067</v>
      </c>
    </row>
    <row r="1249" spans="1:15" ht="45" x14ac:dyDescent="0.25">
      <c r="A1249">
        <v>9594</v>
      </c>
      <c r="B1249">
        <v>16</v>
      </c>
      <c r="C1249" s="56" t="s">
        <v>424</v>
      </c>
      <c r="D1249">
        <v>2017</v>
      </c>
      <c r="E1249">
        <v>10</v>
      </c>
      <c r="F1249" s="57">
        <v>54.47</v>
      </c>
      <c r="G1249">
        <v>17</v>
      </c>
      <c r="H1249" s="58">
        <v>1.4094</v>
      </c>
      <c r="I1249" s="57">
        <v>41.276000000000003</v>
      </c>
      <c r="J1249" s="58" t="s">
        <v>1</v>
      </c>
      <c r="K1249">
        <v>3.7</v>
      </c>
      <c r="L1249" s="26">
        <v>2.8</v>
      </c>
      <c r="M1249" s="58">
        <v>139</v>
      </c>
      <c r="N1249" s="59" t="s">
        <v>385</v>
      </c>
      <c r="O1249" s="61" t="s">
        <v>1068</v>
      </c>
    </row>
    <row r="1250" spans="1:15" ht="45" x14ac:dyDescent="0.25">
      <c r="A1250">
        <v>9595</v>
      </c>
      <c r="B1250">
        <v>17</v>
      </c>
      <c r="C1250" s="56" t="s">
        <v>424</v>
      </c>
      <c r="D1250">
        <v>2017</v>
      </c>
      <c r="E1250">
        <v>15</v>
      </c>
      <c r="F1250" s="57">
        <v>50.16</v>
      </c>
      <c r="G1250">
        <v>1</v>
      </c>
      <c r="H1250" s="58">
        <v>4.7728000000000002</v>
      </c>
      <c r="I1250" s="57">
        <v>1.1467000000000001</v>
      </c>
      <c r="J1250" s="58" t="s">
        <v>1</v>
      </c>
      <c r="K1250">
        <v>4.0999999999999996</v>
      </c>
      <c r="L1250" s="26">
        <v>2.2999999999999998</v>
      </c>
      <c r="M1250" s="58">
        <v>121</v>
      </c>
      <c r="N1250" s="59" t="s">
        <v>15</v>
      </c>
      <c r="O1250" s="61" t="s">
        <v>1069</v>
      </c>
    </row>
    <row r="1251" spans="1:15" ht="105" x14ac:dyDescent="0.25">
      <c r="A1251">
        <v>9596</v>
      </c>
      <c r="B1251">
        <v>17</v>
      </c>
      <c r="C1251" s="56" t="s">
        <v>424</v>
      </c>
      <c r="D1251">
        <v>2017</v>
      </c>
      <c r="E1251">
        <v>56</v>
      </c>
      <c r="F1251" s="57">
        <v>57.58</v>
      </c>
      <c r="G1251">
        <v>3</v>
      </c>
      <c r="H1251" s="58">
        <v>-26.894500000000001</v>
      </c>
      <c r="I1251" s="57">
        <v>26.642099999999999</v>
      </c>
      <c r="J1251" s="58" t="s">
        <v>1</v>
      </c>
      <c r="K1251">
        <v>3.7</v>
      </c>
      <c r="L1251" s="26">
        <v>3.9</v>
      </c>
      <c r="M1251" s="58">
        <v>113</v>
      </c>
      <c r="N1251" s="59" t="s">
        <v>6</v>
      </c>
      <c r="O1251" s="61" t="s">
        <v>1070</v>
      </c>
    </row>
    <row r="1252" spans="1:15" ht="90" x14ac:dyDescent="0.25">
      <c r="A1252">
        <v>9597</v>
      </c>
      <c r="B1252">
        <v>17</v>
      </c>
      <c r="C1252" s="56" t="s">
        <v>424</v>
      </c>
      <c r="D1252">
        <v>2017</v>
      </c>
      <c r="E1252">
        <v>8</v>
      </c>
      <c r="F1252" s="57">
        <v>7.85</v>
      </c>
      <c r="G1252">
        <v>5</v>
      </c>
      <c r="H1252" s="58">
        <v>-2.1063999999999998</v>
      </c>
      <c r="I1252" s="57">
        <v>35.325400000000002</v>
      </c>
      <c r="J1252" s="58" t="s">
        <v>1</v>
      </c>
      <c r="K1252">
        <v>4.0999999999999996</v>
      </c>
      <c r="L1252" s="26"/>
      <c r="M1252" s="58">
        <v>169</v>
      </c>
      <c r="N1252" s="59" t="s">
        <v>96</v>
      </c>
      <c r="O1252" s="61" t="s">
        <v>1071</v>
      </c>
    </row>
    <row r="1253" spans="1:15" ht="75" x14ac:dyDescent="0.25">
      <c r="A1253">
        <v>9598</v>
      </c>
      <c r="B1253">
        <v>17</v>
      </c>
      <c r="C1253" s="56" t="s">
        <v>424</v>
      </c>
      <c r="D1253">
        <v>2017</v>
      </c>
      <c r="E1253">
        <v>17</v>
      </c>
      <c r="F1253" s="57">
        <v>10.32</v>
      </c>
      <c r="G1253">
        <v>8</v>
      </c>
      <c r="H1253" s="58">
        <v>-29.226199999999999</v>
      </c>
      <c r="I1253" s="57">
        <v>26.664300000000001</v>
      </c>
      <c r="J1253" s="58" t="s">
        <v>1</v>
      </c>
      <c r="K1253">
        <v>4.5</v>
      </c>
      <c r="L1253" s="26"/>
      <c r="M1253" s="58">
        <v>156</v>
      </c>
      <c r="N1253" s="59" t="s">
        <v>6</v>
      </c>
      <c r="O1253" s="61" t="s">
        <v>1072</v>
      </c>
    </row>
    <row r="1254" spans="1:15" ht="60" x14ac:dyDescent="0.25">
      <c r="A1254">
        <v>9599</v>
      </c>
      <c r="B1254">
        <v>17</v>
      </c>
      <c r="C1254" s="56" t="s">
        <v>424</v>
      </c>
      <c r="D1254">
        <v>2017</v>
      </c>
      <c r="E1254">
        <v>45</v>
      </c>
      <c r="F1254" s="57">
        <v>2.85</v>
      </c>
      <c r="G1254">
        <v>8</v>
      </c>
      <c r="H1254" s="58">
        <v>-29.549700000000001</v>
      </c>
      <c r="I1254" s="57">
        <v>29.621300000000002</v>
      </c>
      <c r="J1254" s="58" t="s">
        <v>1</v>
      </c>
      <c r="L1254" s="26">
        <v>2.5</v>
      </c>
      <c r="M1254" s="58">
        <v>10</v>
      </c>
      <c r="N1254" s="59" t="s">
        <v>6</v>
      </c>
      <c r="O1254" s="61" t="s">
        <v>1073</v>
      </c>
    </row>
    <row r="1255" spans="1:15" ht="45" x14ac:dyDescent="0.25">
      <c r="A1255">
        <v>9600</v>
      </c>
      <c r="B1255">
        <v>17</v>
      </c>
      <c r="C1255" s="56" t="s">
        <v>424</v>
      </c>
      <c r="D1255">
        <v>2017</v>
      </c>
      <c r="E1255">
        <v>36</v>
      </c>
      <c r="F1255" s="57">
        <v>22.26</v>
      </c>
      <c r="G1255">
        <v>11</v>
      </c>
      <c r="H1255" s="58">
        <v>16.173200000000001</v>
      </c>
      <c r="I1255" s="57">
        <v>-3.7332999999999998</v>
      </c>
      <c r="J1255" s="58" t="s">
        <v>1</v>
      </c>
      <c r="K1255">
        <v>3.6</v>
      </c>
      <c r="L1255" s="26">
        <v>3.3</v>
      </c>
      <c r="M1255" s="58">
        <v>41</v>
      </c>
      <c r="N1255" s="59" t="s">
        <v>15</v>
      </c>
      <c r="O1255" s="61" t="s">
        <v>1074</v>
      </c>
    </row>
    <row r="1256" spans="1:15" ht="75" x14ac:dyDescent="0.25">
      <c r="A1256">
        <v>9601</v>
      </c>
      <c r="B1256">
        <v>17</v>
      </c>
      <c r="C1256" s="56" t="s">
        <v>424</v>
      </c>
      <c r="D1256">
        <v>2017</v>
      </c>
      <c r="E1256">
        <v>2</v>
      </c>
      <c r="F1256" s="57">
        <v>30.22</v>
      </c>
      <c r="G1256">
        <v>21</v>
      </c>
      <c r="H1256" s="58">
        <v>-30.013500000000001</v>
      </c>
      <c r="I1256" s="57">
        <v>25.942299999999999</v>
      </c>
      <c r="J1256" s="58" t="s">
        <v>1</v>
      </c>
      <c r="K1256">
        <v>4</v>
      </c>
      <c r="L1256" s="26"/>
      <c r="M1256" s="58">
        <v>68</v>
      </c>
      <c r="N1256" s="59" t="s">
        <v>6</v>
      </c>
      <c r="O1256" s="61" t="s">
        <v>1075</v>
      </c>
    </row>
    <row r="1257" spans="1:15" ht="60" x14ac:dyDescent="0.25">
      <c r="A1257">
        <v>9602</v>
      </c>
      <c r="B1257">
        <v>18</v>
      </c>
      <c r="C1257" s="56" t="s">
        <v>424</v>
      </c>
      <c r="D1257">
        <v>2017</v>
      </c>
      <c r="E1257">
        <v>37</v>
      </c>
      <c r="F1257" s="57">
        <v>43.4</v>
      </c>
      <c r="G1257">
        <v>15</v>
      </c>
      <c r="H1257" s="58">
        <v>13.648999999999999</v>
      </c>
      <c r="I1257" s="57">
        <v>0.33900000000000002</v>
      </c>
      <c r="J1257" s="58" t="s">
        <v>1</v>
      </c>
      <c r="K1257">
        <v>4.2</v>
      </c>
      <c r="L1257" s="26"/>
      <c r="M1257" s="58">
        <v>26</v>
      </c>
      <c r="N1257" s="59" t="s">
        <v>15</v>
      </c>
      <c r="O1257" s="61" t="s">
        <v>1076</v>
      </c>
    </row>
    <row r="1258" spans="1:15" ht="60" x14ac:dyDescent="0.25">
      <c r="A1258">
        <v>9603</v>
      </c>
      <c r="B1258">
        <v>18</v>
      </c>
      <c r="C1258" s="56" t="s">
        <v>424</v>
      </c>
      <c r="D1258">
        <v>2017</v>
      </c>
      <c r="E1258">
        <v>9</v>
      </c>
      <c r="F1258" s="57">
        <v>20.12</v>
      </c>
      <c r="G1258">
        <v>18</v>
      </c>
      <c r="H1258" s="58">
        <v>5.8541999999999996</v>
      </c>
      <c r="I1258" s="57">
        <v>-3.7057000000000002</v>
      </c>
      <c r="J1258" s="58" t="s">
        <v>1</v>
      </c>
      <c r="L1258" s="26">
        <v>2.8</v>
      </c>
      <c r="M1258" s="58">
        <v>14</v>
      </c>
      <c r="N1258" s="59" t="s">
        <v>15</v>
      </c>
      <c r="O1258" s="61" t="s">
        <v>1077</v>
      </c>
    </row>
    <row r="1259" spans="1:15" ht="90" x14ac:dyDescent="0.25">
      <c r="A1259">
        <v>9604</v>
      </c>
      <c r="B1259">
        <v>19</v>
      </c>
      <c r="C1259" s="56" t="s">
        <v>424</v>
      </c>
      <c r="D1259">
        <v>2017</v>
      </c>
      <c r="E1259">
        <v>19</v>
      </c>
      <c r="F1259" s="57">
        <v>11.24</v>
      </c>
      <c r="G1259">
        <v>3</v>
      </c>
      <c r="H1259" s="58">
        <v>34.334600000000002</v>
      </c>
      <c r="I1259" s="57">
        <v>9.3305000000000007</v>
      </c>
      <c r="J1259" s="58" t="s">
        <v>1</v>
      </c>
      <c r="K1259">
        <v>4.3</v>
      </c>
      <c r="L1259" s="26"/>
      <c r="M1259" s="58">
        <v>116</v>
      </c>
      <c r="N1259" s="59" t="s">
        <v>1078</v>
      </c>
      <c r="O1259" s="61" t="s">
        <v>1079</v>
      </c>
    </row>
    <row r="1260" spans="1:15" ht="45" x14ac:dyDescent="0.25">
      <c r="A1260">
        <v>9605</v>
      </c>
      <c r="B1260">
        <v>19</v>
      </c>
      <c r="C1260" s="56" t="s">
        <v>424</v>
      </c>
      <c r="D1260">
        <v>2017</v>
      </c>
      <c r="E1260">
        <v>26</v>
      </c>
      <c r="F1260" s="57">
        <v>44.34</v>
      </c>
      <c r="G1260">
        <v>18</v>
      </c>
      <c r="H1260" s="58">
        <v>16.5318</v>
      </c>
      <c r="I1260" s="57">
        <v>0.1237</v>
      </c>
      <c r="J1260" s="58" t="s">
        <v>1</v>
      </c>
      <c r="K1260">
        <v>4</v>
      </c>
      <c r="L1260" s="26">
        <v>3</v>
      </c>
      <c r="M1260" s="58">
        <v>124</v>
      </c>
      <c r="N1260" s="59" t="s">
        <v>15</v>
      </c>
      <c r="O1260" s="61" t="s">
        <v>1080</v>
      </c>
    </row>
    <row r="1261" spans="1:15" ht="60" x14ac:dyDescent="0.25">
      <c r="A1261">
        <v>9606</v>
      </c>
      <c r="B1261">
        <v>19</v>
      </c>
      <c r="C1261" s="56" t="s">
        <v>424</v>
      </c>
      <c r="D1261">
        <v>2017</v>
      </c>
      <c r="E1261">
        <v>54</v>
      </c>
      <c r="F1261" s="57">
        <v>20.23</v>
      </c>
      <c r="G1261">
        <v>18</v>
      </c>
      <c r="H1261" s="58">
        <v>39.104999999999997</v>
      </c>
      <c r="I1261" s="57">
        <v>29.690899999999999</v>
      </c>
      <c r="J1261" s="58" t="s">
        <v>1</v>
      </c>
      <c r="L1261" s="26">
        <v>2.2999999999999998</v>
      </c>
      <c r="M1261" s="58">
        <v>167</v>
      </c>
      <c r="N1261" s="59" t="s">
        <v>399</v>
      </c>
      <c r="O1261" s="61" t="s">
        <v>1081</v>
      </c>
    </row>
    <row r="1262" spans="1:15" ht="60" x14ac:dyDescent="0.25">
      <c r="A1262">
        <v>9607</v>
      </c>
      <c r="B1262">
        <v>19</v>
      </c>
      <c r="C1262" s="56" t="s">
        <v>424</v>
      </c>
      <c r="D1262">
        <v>2017</v>
      </c>
      <c r="E1262">
        <v>1</v>
      </c>
      <c r="F1262" s="57">
        <v>38.409999999999997</v>
      </c>
      <c r="G1262">
        <v>23</v>
      </c>
      <c r="H1262" s="58">
        <v>6.9965000000000002</v>
      </c>
      <c r="I1262" s="57">
        <v>-6.4931000000000001</v>
      </c>
      <c r="J1262" s="58" t="s">
        <v>1</v>
      </c>
      <c r="K1262">
        <v>4.3</v>
      </c>
      <c r="L1262" s="26"/>
      <c r="M1262" s="58">
        <v>176</v>
      </c>
      <c r="N1262" s="59" t="s">
        <v>15</v>
      </c>
      <c r="O1262" s="61" t="s">
        <v>1082</v>
      </c>
    </row>
    <row r="1263" spans="1:15" ht="75" x14ac:dyDescent="0.25">
      <c r="A1263">
        <v>9608</v>
      </c>
      <c r="B1263">
        <v>20</v>
      </c>
      <c r="C1263" s="56" t="s">
        <v>424</v>
      </c>
      <c r="D1263">
        <v>2017</v>
      </c>
      <c r="E1263">
        <v>28</v>
      </c>
      <c r="F1263" s="57">
        <v>56.99</v>
      </c>
      <c r="G1263">
        <v>10</v>
      </c>
      <c r="H1263" s="58">
        <v>24.551200000000001</v>
      </c>
      <c r="I1263" s="57">
        <v>-16.7438</v>
      </c>
      <c r="J1263" s="58" t="s">
        <v>1</v>
      </c>
      <c r="K1263">
        <v>3.8</v>
      </c>
      <c r="L1263" s="26"/>
      <c r="M1263" s="58">
        <v>128</v>
      </c>
      <c r="N1263" s="59" t="s">
        <v>15</v>
      </c>
      <c r="O1263" s="61" t="s">
        <v>1083</v>
      </c>
    </row>
    <row r="1264" spans="1:15" ht="60" x14ac:dyDescent="0.25">
      <c r="A1264">
        <v>9609</v>
      </c>
      <c r="B1264">
        <v>20</v>
      </c>
      <c r="C1264" s="56" t="s">
        <v>424</v>
      </c>
      <c r="D1264">
        <v>2017</v>
      </c>
      <c r="E1264">
        <v>20</v>
      </c>
      <c r="F1264" s="57">
        <v>45.91</v>
      </c>
      <c r="G1264">
        <v>12</v>
      </c>
      <c r="H1264" s="58">
        <v>-26.101800000000001</v>
      </c>
      <c r="I1264" s="57">
        <v>28.579899999999999</v>
      </c>
      <c r="J1264" s="58" t="s">
        <v>1</v>
      </c>
      <c r="K1264">
        <v>4</v>
      </c>
      <c r="L1264" s="26">
        <v>2.7</v>
      </c>
      <c r="M1264" s="58">
        <v>130</v>
      </c>
      <c r="N1264" s="59" t="s">
        <v>6</v>
      </c>
      <c r="O1264" s="61" t="s">
        <v>1084</v>
      </c>
    </row>
    <row r="1265" spans="1:15" ht="45" x14ac:dyDescent="0.25">
      <c r="A1265">
        <v>9610</v>
      </c>
      <c r="B1265">
        <v>21</v>
      </c>
      <c r="C1265" s="56" t="s">
        <v>424</v>
      </c>
      <c r="D1265">
        <v>2017</v>
      </c>
      <c r="E1265">
        <v>25</v>
      </c>
      <c r="F1265" s="57">
        <v>12.6</v>
      </c>
      <c r="G1265">
        <v>0</v>
      </c>
      <c r="H1265" s="58">
        <v>36.783299999999997</v>
      </c>
      <c r="I1265" s="57">
        <v>9.4583999999999993</v>
      </c>
      <c r="J1265" s="58" t="s">
        <v>1</v>
      </c>
      <c r="K1265">
        <v>3.9</v>
      </c>
      <c r="L1265" s="26">
        <v>3.5</v>
      </c>
      <c r="M1265" s="58">
        <v>117</v>
      </c>
      <c r="N1265" s="59" t="s">
        <v>1078</v>
      </c>
      <c r="O1265" s="61" t="s">
        <v>1085</v>
      </c>
    </row>
    <row r="1266" spans="1:15" ht="90" x14ac:dyDescent="0.25">
      <c r="A1266">
        <v>9611</v>
      </c>
      <c r="B1266">
        <v>21</v>
      </c>
      <c r="C1266" s="56" t="s">
        <v>424</v>
      </c>
      <c r="D1266">
        <v>2017</v>
      </c>
      <c r="E1266">
        <v>3</v>
      </c>
      <c r="F1266" s="57">
        <v>35.61</v>
      </c>
      <c r="G1266">
        <v>5</v>
      </c>
      <c r="H1266" s="58">
        <v>-5.9432</v>
      </c>
      <c r="I1266" s="57">
        <v>29.265899999999998</v>
      </c>
      <c r="J1266" s="58" t="s">
        <v>1</v>
      </c>
      <c r="K1266">
        <v>3.8</v>
      </c>
      <c r="L1266" s="26">
        <v>4.0999999999999996</v>
      </c>
      <c r="M1266" s="58">
        <v>103</v>
      </c>
      <c r="N1266" s="59" t="s">
        <v>1029</v>
      </c>
      <c r="O1266" s="61" t="s">
        <v>1086</v>
      </c>
    </row>
    <row r="1267" spans="1:15" ht="45" x14ac:dyDescent="0.25">
      <c r="A1267">
        <v>9612</v>
      </c>
      <c r="B1267">
        <v>21</v>
      </c>
      <c r="C1267" s="56" t="s">
        <v>424</v>
      </c>
      <c r="D1267">
        <v>2017</v>
      </c>
      <c r="E1267">
        <v>21</v>
      </c>
      <c r="F1267" s="57">
        <v>10.039999999999999</v>
      </c>
      <c r="G1267">
        <v>18</v>
      </c>
      <c r="H1267" s="58">
        <v>9.8762000000000008</v>
      </c>
      <c r="I1267" s="57">
        <v>19.653600000000001</v>
      </c>
      <c r="J1267" s="58" t="s">
        <v>1</v>
      </c>
      <c r="K1267">
        <v>4</v>
      </c>
      <c r="L1267" s="26"/>
      <c r="M1267" s="58">
        <v>148</v>
      </c>
      <c r="N1267" s="59" t="s">
        <v>139</v>
      </c>
      <c r="O1267" s="61" t="s">
        <v>1087</v>
      </c>
    </row>
    <row r="1268" spans="1:15" ht="60" x14ac:dyDescent="0.25">
      <c r="A1268">
        <v>9613</v>
      </c>
      <c r="B1268">
        <v>21</v>
      </c>
      <c r="C1268" s="56" t="s">
        <v>424</v>
      </c>
      <c r="D1268">
        <v>2017</v>
      </c>
      <c r="E1268">
        <v>51</v>
      </c>
      <c r="F1268" s="57">
        <v>45.21</v>
      </c>
      <c r="G1268">
        <v>19</v>
      </c>
      <c r="H1268" s="58">
        <v>7.3860000000000001</v>
      </c>
      <c r="I1268" s="57">
        <v>-6.1313000000000004</v>
      </c>
      <c r="J1268" s="58" t="s">
        <v>1</v>
      </c>
      <c r="K1268">
        <v>4.5</v>
      </c>
      <c r="L1268" s="26"/>
      <c r="M1268" s="58">
        <v>28</v>
      </c>
      <c r="N1268" s="59" t="s">
        <v>15</v>
      </c>
      <c r="O1268" s="61" t="s">
        <v>1088</v>
      </c>
    </row>
    <row r="1269" spans="1:15" ht="45" x14ac:dyDescent="0.25">
      <c r="A1269">
        <v>9614</v>
      </c>
      <c r="B1269">
        <v>21</v>
      </c>
      <c r="C1269" s="56" t="s">
        <v>424</v>
      </c>
      <c r="D1269">
        <v>2017</v>
      </c>
      <c r="E1269">
        <v>36</v>
      </c>
      <c r="F1269" s="57">
        <v>31.75</v>
      </c>
      <c r="G1269">
        <v>22</v>
      </c>
      <c r="H1269" s="58">
        <v>18.068000000000001</v>
      </c>
      <c r="I1269" s="57">
        <v>-2.1669</v>
      </c>
      <c r="J1269" s="58" t="s">
        <v>1</v>
      </c>
      <c r="K1269">
        <v>3.9</v>
      </c>
      <c r="L1269" s="26"/>
      <c r="M1269" s="58">
        <v>83</v>
      </c>
      <c r="N1269" s="59" t="s">
        <v>15</v>
      </c>
      <c r="O1269" s="61" t="s">
        <v>1089</v>
      </c>
    </row>
    <row r="1270" spans="1:15" ht="45" x14ac:dyDescent="0.25">
      <c r="A1270">
        <v>9615</v>
      </c>
      <c r="B1270">
        <v>22</v>
      </c>
      <c r="C1270" s="56" t="s">
        <v>424</v>
      </c>
      <c r="D1270">
        <v>2017</v>
      </c>
      <c r="E1270">
        <v>35</v>
      </c>
      <c r="F1270" s="57">
        <v>38.26</v>
      </c>
      <c r="G1270">
        <v>7</v>
      </c>
      <c r="H1270" s="58">
        <v>13.083399999999999</v>
      </c>
      <c r="I1270" s="57">
        <v>3.0878999999999999</v>
      </c>
      <c r="J1270" s="58" t="s">
        <v>1</v>
      </c>
      <c r="K1270">
        <v>4.4000000000000004</v>
      </c>
      <c r="L1270" s="26"/>
      <c r="M1270" s="58">
        <v>157</v>
      </c>
      <c r="N1270" s="59" t="s">
        <v>15</v>
      </c>
      <c r="O1270" s="61" t="s">
        <v>1090</v>
      </c>
    </row>
    <row r="1271" spans="1:15" ht="90" x14ac:dyDescent="0.25">
      <c r="A1271">
        <v>9616</v>
      </c>
      <c r="B1271">
        <v>22</v>
      </c>
      <c r="C1271" s="56" t="s">
        <v>424</v>
      </c>
      <c r="D1271">
        <v>2017</v>
      </c>
      <c r="E1271">
        <v>18</v>
      </c>
      <c r="F1271" s="57">
        <v>33.74</v>
      </c>
      <c r="G1271">
        <v>13</v>
      </c>
      <c r="H1271" s="58">
        <v>-29.838999999999999</v>
      </c>
      <c r="I1271" s="57">
        <v>26.962299999999999</v>
      </c>
      <c r="J1271" s="58" t="s">
        <v>1</v>
      </c>
      <c r="K1271">
        <v>4.3</v>
      </c>
      <c r="L1271" s="26"/>
      <c r="M1271" s="58">
        <v>59</v>
      </c>
      <c r="N1271" s="59" t="s">
        <v>6</v>
      </c>
      <c r="O1271" s="61" t="s">
        <v>1091</v>
      </c>
    </row>
    <row r="1272" spans="1:15" ht="60" x14ac:dyDescent="0.25">
      <c r="A1272">
        <v>9617</v>
      </c>
      <c r="B1272">
        <v>23</v>
      </c>
      <c r="C1272" s="56" t="s">
        <v>424</v>
      </c>
      <c r="D1272">
        <v>2017</v>
      </c>
      <c r="E1272">
        <v>30</v>
      </c>
      <c r="F1272" s="57">
        <v>13.11</v>
      </c>
      <c r="G1272">
        <v>10</v>
      </c>
      <c r="H1272" s="58">
        <v>-15.3687</v>
      </c>
      <c r="I1272" s="57">
        <v>42.396700000000003</v>
      </c>
      <c r="J1272" s="58" t="s">
        <v>1</v>
      </c>
      <c r="K1272">
        <v>3.7</v>
      </c>
      <c r="L1272" s="26"/>
      <c r="M1272" s="58">
        <v>143</v>
      </c>
      <c r="N1272" s="59" t="s">
        <v>75</v>
      </c>
      <c r="O1272" s="61" t="s">
        <v>1092</v>
      </c>
    </row>
    <row r="1273" spans="1:15" ht="75" x14ac:dyDescent="0.25">
      <c r="A1273">
        <v>9618</v>
      </c>
      <c r="B1273">
        <v>23</v>
      </c>
      <c r="C1273" s="56" t="s">
        <v>424</v>
      </c>
      <c r="D1273">
        <v>2017</v>
      </c>
      <c r="E1273">
        <v>11</v>
      </c>
      <c r="F1273" s="57">
        <v>46.46</v>
      </c>
      <c r="G1273">
        <v>21</v>
      </c>
      <c r="H1273" s="58">
        <v>16.7758</v>
      </c>
      <c r="I1273" s="57">
        <v>-14.443300000000001</v>
      </c>
      <c r="J1273" s="58" t="s">
        <v>1</v>
      </c>
      <c r="K1273">
        <v>3.8</v>
      </c>
      <c r="L1273" s="26"/>
      <c r="M1273" s="58">
        <v>95</v>
      </c>
      <c r="N1273" s="59" t="s">
        <v>15</v>
      </c>
      <c r="O1273" s="61" t="s">
        <v>1093</v>
      </c>
    </row>
    <row r="1274" spans="1:15" ht="60" x14ac:dyDescent="0.25">
      <c r="A1274">
        <v>9619</v>
      </c>
      <c r="B1274">
        <v>23</v>
      </c>
      <c r="C1274" s="56" t="s">
        <v>424</v>
      </c>
      <c r="D1274">
        <v>2017</v>
      </c>
      <c r="E1274">
        <v>0</v>
      </c>
      <c r="F1274" s="57">
        <v>12.06</v>
      </c>
      <c r="G1274">
        <v>22</v>
      </c>
      <c r="H1274" s="58">
        <v>-29.741</v>
      </c>
      <c r="I1274" s="57">
        <v>24.630600000000001</v>
      </c>
      <c r="J1274" s="58" t="s">
        <v>1</v>
      </c>
      <c r="K1274">
        <v>3.9</v>
      </c>
      <c r="L1274" s="26"/>
      <c r="M1274" s="58">
        <v>113</v>
      </c>
      <c r="N1274" s="59" t="s">
        <v>6</v>
      </c>
      <c r="O1274" s="61" t="s">
        <v>1094</v>
      </c>
    </row>
    <row r="1275" spans="1:15" ht="45" x14ac:dyDescent="0.25">
      <c r="A1275">
        <v>9620</v>
      </c>
      <c r="B1275">
        <v>24</v>
      </c>
      <c r="C1275" s="56" t="s">
        <v>424</v>
      </c>
      <c r="D1275">
        <v>2017</v>
      </c>
      <c r="E1275">
        <v>34</v>
      </c>
      <c r="F1275" s="57">
        <v>30.75</v>
      </c>
      <c r="G1275">
        <v>2</v>
      </c>
      <c r="H1275" s="58">
        <v>14.1896</v>
      </c>
      <c r="I1275" s="57">
        <v>-4.2228000000000003</v>
      </c>
      <c r="J1275" s="58" t="s">
        <v>1</v>
      </c>
      <c r="K1275">
        <v>3.9</v>
      </c>
      <c r="L1275" s="26">
        <v>1.7</v>
      </c>
      <c r="M1275" s="58">
        <v>26</v>
      </c>
      <c r="N1275" s="59" t="s">
        <v>15</v>
      </c>
      <c r="O1275" s="61" t="s">
        <v>1095</v>
      </c>
    </row>
    <row r="1276" spans="1:15" ht="45" x14ac:dyDescent="0.25">
      <c r="A1276">
        <v>9621</v>
      </c>
      <c r="B1276">
        <v>24</v>
      </c>
      <c r="C1276" s="56" t="s">
        <v>424</v>
      </c>
      <c r="D1276">
        <v>2017</v>
      </c>
      <c r="E1276">
        <v>37</v>
      </c>
      <c r="F1276" s="57">
        <v>31.08</v>
      </c>
      <c r="G1276">
        <v>4</v>
      </c>
      <c r="H1276" s="58">
        <v>12.632999999999999</v>
      </c>
      <c r="I1276" s="57">
        <v>-17.197500000000002</v>
      </c>
      <c r="J1276" s="58" t="s">
        <v>1</v>
      </c>
      <c r="K1276">
        <v>3.5</v>
      </c>
      <c r="L1276" s="26">
        <v>2.5</v>
      </c>
      <c r="M1276" s="58">
        <v>37</v>
      </c>
      <c r="N1276" s="59" t="s">
        <v>15</v>
      </c>
      <c r="O1276" s="61" t="s">
        <v>1051</v>
      </c>
    </row>
    <row r="1277" spans="1:15" ht="45" x14ac:dyDescent="0.25">
      <c r="A1277">
        <v>9622</v>
      </c>
      <c r="B1277">
        <v>25</v>
      </c>
      <c r="C1277" s="56" t="s">
        <v>424</v>
      </c>
      <c r="D1277">
        <v>2017</v>
      </c>
      <c r="E1277">
        <v>18</v>
      </c>
      <c r="F1277" s="57">
        <v>35.729999999999997</v>
      </c>
      <c r="G1277">
        <v>12</v>
      </c>
      <c r="H1277" s="58">
        <v>34.485900000000001</v>
      </c>
      <c r="I1277" s="57">
        <v>9.1925000000000008</v>
      </c>
      <c r="J1277" s="58" t="s">
        <v>1</v>
      </c>
      <c r="K1277">
        <v>3.8</v>
      </c>
      <c r="L1277" s="26"/>
      <c r="M1277" s="58">
        <v>98</v>
      </c>
      <c r="N1277" s="59" t="s">
        <v>1078</v>
      </c>
      <c r="O1277" s="61" t="s">
        <v>1096</v>
      </c>
    </row>
    <row r="1278" spans="1:15" ht="90" x14ac:dyDescent="0.25">
      <c r="A1278">
        <v>9623</v>
      </c>
      <c r="B1278">
        <v>26</v>
      </c>
      <c r="C1278" s="56" t="s">
        <v>424</v>
      </c>
      <c r="D1278">
        <v>2017</v>
      </c>
      <c r="E1278">
        <v>41</v>
      </c>
      <c r="F1278" s="57">
        <v>17.34</v>
      </c>
      <c r="G1278">
        <v>3</v>
      </c>
      <c r="H1278" s="58">
        <v>5.6265999999999998</v>
      </c>
      <c r="I1278" s="57">
        <v>-13.185499999999999</v>
      </c>
      <c r="J1278" s="58" t="s">
        <v>1</v>
      </c>
      <c r="K1278">
        <v>3.9</v>
      </c>
      <c r="L1278" s="26">
        <v>3.4</v>
      </c>
      <c r="M1278" s="58">
        <v>179</v>
      </c>
      <c r="N1278" s="59" t="s">
        <v>154</v>
      </c>
      <c r="O1278" s="61" t="s">
        <v>665</v>
      </c>
    </row>
    <row r="1279" spans="1:15" ht="60" x14ac:dyDescent="0.25">
      <c r="A1279">
        <v>9624</v>
      </c>
      <c r="B1279">
        <v>27</v>
      </c>
      <c r="C1279" s="56" t="s">
        <v>424</v>
      </c>
      <c r="D1279">
        <v>2017</v>
      </c>
      <c r="E1279">
        <v>28</v>
      </c>
      <c r="F1279" s="57">
        <v>55.26</v>
      </c>
      <c r="G1279">
        <v>13</v>
      </c>
      <c r="H1279" s="58">
        <v>-28.640899999999998</v>
      </c>
      <c r="I1279" s="57">
        <v>25.25</v>
      </c>
      <c r="J1279" s="58" t="s">
        <v>1</v>
      </c>
      <c r="K1279">
        <v>4.5</v>
      </c>
      <c r="L1279" s="26"/>
      <c r="M1279" s="58">
        <v>10</v>
      </c>
      <c r="N1279" s="59" t="s">
        <v>6</v>
      </c>
      <c r="O1279" s="61" t="s">
        <v>1041</v>
      </c>
    </row>
    <row r="1280" spans="1:15" ht="45" x14ac:dyDescent="0.25">
      <c r="A1280">
        <v>9625</v>
      </c>
      <c r="B1280">
        <v>27</v>
      </c>
      <c r="C1280" s="56" t="s">
        <v>424</v>
      </c>
      <c r="D1280">
        <v>2017</v>
      </c>
      <c r="E1280">
        <v>38</v>
      </c>
      <c r="F1280" s="57">
        <v>49.53</v>
      </c>
      <c r="G1280">
        <v>13</v>
      </c>
      <c r="H1280" s="58">
        <v>13.858499999999999</v>
      </c>
      <c r="I1280" s="57">
        <v>1.0088999999999999</v>
      </c>
      <c r="J1280" s="58" t="s">
        <v>1</v>
      </c>
      <c r="K1280">
        <v>4.2</v>
      </c>
      <c r="L1280" s="26"/>
      <c r="M1280" s="58">
        <v>28</v>
      </c>
      <c r="N1280" s="59" t="s">
        <v>15</v>
      </c>
      <c r="O1280" s="61" t="s">
        <v>1097</v>
      </c>
    </row>
    <row r="1281" spans="1:15" ht="60" x14ac:dyDescent="0.25">
      <c r="A1281">
        <v>9626</v>
      </c>
      <c r="B1281">
        <v>27</v>
      </c>
      <c r="C1281" s="56" t="s">
        <v>424</v>
      </c>
      <c r="D1281">
        <v>2017</v>
      </c>
      <c r="E1281">
        <v>4</v>
      </c>
      <c r="F1281" s="57">
        <v>18.64</v>
      </c>
      <c r="G1281">
        <v>18</v>
      </c>
      <c r="H1281" s="58">
        <v>31.7013</v>
      </c>
      <c r="I1281" s="57">
        <v>33.653700000000001</v>
      </c>
      <c r="J1281" s="58" t="s">
        <v>1</v>
      </c>
      <c r="K1281">
        <v>4.0999999999999996</v>
      </c>
      <c r="L1281" s="26">
        <v>3.5</v>
      </c>
      <c r="M1281" s="58">
        <v>137</v>
      </c>
      <c r="N1281" s="59" t="s">
        <v>72</v>
      </c>
      <c r="O1281" s="61" t="s">
        <v>1098</v>
      </c>
    </row>
    <row r="1282" spans="1:15" ht="60" x14ac:dyDescent="0.25">
      <c r="A1282">
        <v>9627</v>
      </c>
      <c r="B1282">
        <v>28</v>
      </c>
      <c r="C1282" s="56" t="s">
        <v>424</v>
      </c>
      <c r="D1282">
        <v>2017</v>
      </c>
      <c r="E1282">
        <v>19</v>
      </c>
      <c r="F1282" s="57">
        <v>49.64</v>
      </c>
      <c r="G1282">
        <v>6</v>
      </c>
      <c r="H1282" s="58">
        <v>20.7987</v>
      </c>
      <c r="I1282" s="57">
        <v>10.033300000000001</v>
      </c>
      <c r="J1282" s="58" t="s">
        <v>1</v>
      </c>
      <c r="K1282">
        <v>3.8</v>
      </c>
      <c r="L1282" s="26"/>
      <c r="M1282" s="58">
        <v>131</v>
      </c>
      <c r="N1282" s="59" t="s">
        <v>15</v>
      </c>
      <c r="O1282" s="61" t="s">
        <v>1099</v>
      </c>
    </row>
    <row r="1283" spans="1:15" ht="75" x14ac:dyDescent="0.25">
      <c r="A1283">
        <v>9628</v>
      </c>
      <c r="B1283">
        <v>29</v>
      </c>
      <c r="C1283" s="56" t="s">
        <v>424</v>
      </c>
      <c r="D1283">
        <v>2017</v>
      </c>
      <c r="E1283">
        <v>26</v>
      </c>
      <c r="F1283" s="57">
        <v>1.95</v>
      </c>
      <c r="G1283">
        <v>20</v>
      </c>
      <c r="H1283" s="58">
        <v>30.0458</v>
      </c>
      <c r="I1283" s="57">
        <v>7.0721999999999996</v>
      </c>
      <c r="J1283" s="58" t="s">
        <v>1</v>
      </c>
      <c r="K1283">
        <v>3.6</v>
      </c>
      <c r="L1283" s="26"/>
      <c r="M1283" s="58">
        <v>130</v>
      </c>
      <c r="N1283" s="59" t="s">
        <v>10</v>
      </c>
      <c r="O1283" s="61" t="s">
        <v>1100</v>
      </c>
    </row>
    <row r="1284" spans="1:15" ht="60" x14ac:dyDescent="0.25">
      <c r="A1284">
        <v>9629</v>
      </c>
      <c r="B1284">
        <v>29</v>
      </c>
      <c r="C1284" s="56" t="s">
        <v>424</v>
      </c>
      <c r="D1284">
        <v>2017</v>
      </c>
      <c r="E1284">
        <v>55</v>
      </c>
      <c r="F1284" s="57">
        <v>53.61</v>
      </c>
      <c r="G1284">
        <v>23</v>
      </c>
      <c r="H1284" s="58">
        <v>-2.6775000000000002</v>
      </c>
      <c r="I1284" s="57">
        <v>36.188200000000002</v>
      </c>
      <c r="J1284" s="58" t="s">
        <v>1</v>
      </c>
      <c r="K1284">
        <v>4.0999999999999996</v>
      </c>
      <c r="L1284" s="26"/>
      <c r="M1284" s="58">
        <v>127</v>
      </c>
      <c r="N1284" s="59" t="s">
        <v>96</v>
      </c>
      <c r="O1284" s="61" t="s">
        <v>998</v>
      </c>
    </row>
    <row r="1285" spans="1:15" ht="60" x14ac:dyDescent="0.25">
      <c r="A1285">
        <v>9630</v>
      </c>
      <c r="B1285">
        <v>30</v>
      </c>
      <c r="C1285" s="56" t="s">
        <v>424</v>
      </c>
      <c r="D1285">
        <v>2017</v>
      </c>
      <c r="E1285">
        <v>2</v>
      </c>
      <c r="F1285" s="57">
        <v>59.58</v>
      </c>
      <c r="G1285">
        <v>11</v>
      </c>
      <c r="H1285" s="58">
        <v>-26.434000000000001</v>
      </c>
      <c r="I1285" s="57">
        <v>28.825299999999999</v>
      </c>
      <c r="J1285" s="58" t="s">
        <v>1</v>
      </c>
      <c r="L1285" s="26">
        <v>2.5</v>
      </c>
      <c r="M1285" s="58">
        <v>144</v>
      </c>
      <c r="N1285" s="59" t="s">
        <v>6</v>
      </c>
      <c r="O1285" s="61" t="s">
        <v>1101</v>
      </c>
    </row>
    <row r="1286" spans="1:15" ht="75" x14ac:dyDescent="0.25">
      <c r="A1286">
        <v>9631</v>
      </c>
      <c r="B1286">
        <v>30</v>
      </c>
      <c r="C1286" s="56" t="s">
        <v>424</v>
      </c>
      <c r="D1286">
        <v>2017</v>
      </c>
      <c r="E1286">
        <v>50</v>
      </c>
      <c r="F1286" s="57">
        <v>24.86</v>
      </c>
      <c r="G1286">
        <v>11</v>
      </c>
      <c r="H1286" s="58">
        <v>19.5275</v>
      </c>
      <c r="I1286" s="57">
        <v>17.831499999999998</v>
      </c>
      <c r="J1286" s="58" t="s">
        <v>1</v>
      </c>
      <c r="K1286">
        <v>4</v>
      </c>
      <c r="L1286" s="26">
        <v>3.2</v>
      </c>
      <c r="M1286" s="58">
        <v>138</v>
      </c>
      <c r="N1286" s="59" t="s">
        <v>139</v>
      </c>
      <c r="O1286" s="61" t="s">
        <v>1102</v>
      </c>
    </row>
    <row r="1287" spans="1:15" ht="60" x14ac:dyDescent="0.25">
      <c r="A1287">
        <v>9632</v>
      </c>
      <c r="B1287">
        <v>30</v>
      </c>
      <c r="C1287" s="56" t="s">
        <v>424</v>
      </c>
      <c r="D1287">
        <v>2017</v>
      </c>
      <c r="E1287">
        <v>24</v>
      </c>
      <c r="F1287" s="57">
        <v>45.49</v>
      </c>
      <c r="G1287">
        <v>12</v>
      </c>
      <c r="H1287" s="58">
        <v>-26.543199999999999</v>
      </c>
      <c r="I1287" s="57">
        <v>27.443999999999999</v>
      </c>
      <c r="J1287" s="58" t="s">
        <v>1</v>
      </c>
      <c r="K1287">
        <v>4.0999999999999996</v>
      </c>
      <c r="L1287" s="26">
        <v>2.2000000000000002</v>
      </c>
      <c r="M1287" s="58">
        <v>131</v>
      </c>
      <c r="N1287" s="59" t="s">
        <v>6</v>
      </c>
      <c r="O1287" s="61" t="s">
        <v>1103</v>
      </c>
    </row>
    <row r="1288" spans="1:15" ht="45" x14ac:dyDescent="0.25">
      <c r="A1288">
        <v>9633</v>
      </c>
      <c r="B1288">
        <v>31</v>
      </c>
      <c r="C1288" s="56" t="s">
        <v>424</v>
      </c>
      <c r="D1288">
        <v>2017</v>
      </c>
      <c r="E1288">
        <v>31</v>
      </c>
      <c r="F1288" s="57">
        <v>26.17</v>
      </c>
      <c r="G1288">
        <v>0</v>
      </c>
      <c r="H1288" s="58">
        <v>9.2748000000000008</v>
      </c>
      <c r="I1288" s="57">
        <v>49.508200000000002</v>
      </c>
      <c r="J1288" s="58" t="s">
        <v>1</v>
      </c>
      <c r="K1288">
        <v>4</v>
      </c>
      <c r="L1288" s="26"/>
      <c r="M1288" s="58">
        <v>129</v>
      </c>
      <c r="N1288" s="59" t="s">
        <v>954</v>
      </c>
      <c r="O1288" s="61" t="s">
        <v>1104</v>
      </c>
    </row>
    <row r="1289" spans="1:15" ht="45" x14ac:dyDescent="0.25">
      <c r="A1289">
        <v>9634</v>
      </c>
      <c r="B1289">
        <v>31</v>
      </c>
      <c r="C1289" s="56" t="s">
        <v>424</v>
      </c>
      <c r="D1289">
        <v>2017</v>
      </c>
      <c r="E1289">
        <v>40</v>
      </c>
      <c r="F1289" s="57">
        <v>40.04</v>
      </c>
      <c r="G1289">
        <v>5</v>
      </c>
      <c r="H1289" s="58">
        <v>22.018899999999999</v>
      </c>
      <c r="I1289" s="57">
        <v>24.382400000000001</v>
      </c>
      <c r="J1289" s="58" t="s">
        <v>1</v>
      </c>
      <c r="K1289">
        <v>3.6</v>
      </c>
      <c r="L1289" s="26">
        <v>4</v>
      </c>
      <c r="M1289" s="58">
        <v>63</v>
      </c>
      <c r="N1289" s="59" t="s">
        <v>139</v>
      </c>
      <c r="O1289" s="61" t="s">
        <v>1049</v>
      </c>
    </row>
    <row r="1290" spans="1:15" ht="45" x14ac:dyDescent="0.25">
      <c r="A1290">
        <v>9635</v>
      </c>
      <c r="B1290">
        <v>31</v>
      </c>
      <c r="C1290" s="56" t="s">
        <v>424</v>
      </c>
      <c r="D1290">
        <v>2017</v>
      </c>
      <c r="E1290">
        <v>7</v>
      </c>
      <c r="F1290" s="57">
        <v>31.07</v>
      </c>
      <c r="G1290">
        <v>7</v>
      </c>
      <c r="H1290" s="58">
        <v>33.996400000000001</v>
      </c>
      <c r="I1290" s="57">
        <v>5.6573000000000002</v>
      </c>
      <c r="J1290" s="58" t="s">
        <v>1</v>
      </c>
      <c r="K1290">
        <v>3.5</v>
      </c>
      <c r="L1290" s="26">
        <v>2.7</v>
      </c>
      <c r="M1290" s="58">
        <v>123</v>
      </c>
      <c r="N1290" s="59" t="s">
        <v>10</v>
      </c>
      <c r="O1290" s="61" t="s">
        <v>1105</v>
      </c>
    </row>
    <row r="1291" spans="1:15" ht="45" x14ac:dyDescent="0.25">
      <c r="A1291">
        <v>9636</v>
      </c>
      <c r="B1291">
        <v>31</v>
      </c>
      <c r="C1291" s="56" t="s">
        <v>424</v>
      </c>
      <c r="D1291">
        <v>2017</v>
      </c>
      <c r="E1291">
        <v>40</v>
      </c>
      <c r="F1291" s="57">
        <v>13.09</v>
      </c>
      <c r="G1291">
        <v>16</v>
      </c>
      <c r="H1291" s="58">
        <v>32.052799999999998</v>
      </c>
      <c r="I1291" s="57">
        <v>13.3203</v>
      </c>
      <c r="J1291" s="58" t="s">
        <v>1</v>
      </c>
      <c r="K1291">
        <v>3.5</v>
      </c>
      <c r="L1291" s="26">
        <v>3.8</v>
      </c>
      <c r="M1291" s="58">
        <v>106</v>
      </c>
      <c r="N1291" s="59" t="s">
        <v>135</v>
      </c>
      <c r="O1291" s="61" t="s">
        <v>1106</v>
      </c>
    </row>
    <row r="1292" spans="1:15" ht="60" x14ac:dyDescent="0.25">
      <c r="A1292">
        <v>9637</v>
      </c>
      <c r="B1292">
        <v>31</v>
      </c>
      <c r="C1292" s="56" t="s">
        <v>424</v>
      </c>
      <c r="D1292">
        <v>2017</v>
      </c>
      <c r="E1292">
        <v>13</v>
      </c>
      <c r="F1292" s="57">
        <v>21.95</v>
      </c>
      <c r="G1292">
        <v>17</v>
      </c>
      <c r="H1292" s="58">
        <v>-33.5047</v>
      </c>
      <c r="I1292" s="57">
        <v>28.996400000000001</v>
      </c>
      <c r="J1292" s="58" t="s">
        <v>1</v>
      </c>
      <c r="K1292">
        <v>4</v>
      </c>
      <c r="L1292" s="26">
        <v>2.2999999999999998</v>
      </c>
      <c r="M1292" s="58">
        <v>68</v>
      </c>
      <c r="N1292" s="59" t="s">
        <v>6</v>
      </c>
      <c r="O1292" s="61" t="s">
        <v>1107</v>
      </c>
    </row>
    <row r="1293" spans="1:15" ht="90" x14ac:dyDescent="0.25">
      <c r="A1293">
        <v>9638</v>
      </c>
      <c r="B1293">
        <v>31</v>
      </c>
      <c r="C1293" s="56" t="s">
        <v>424</v>
      </c>
      <c r="D1293">
        <v>2017</v>
      </c>
      <c r="E1293">
        <v>7</v>
      </c>
      <c r="F1293" s="57">
        <v>49.52</v>
      </c>
      <c r="G1293">
        <v>21</v>
      </c>
      <c r="H1293" s="58">
        <v>-38.753900000000002</v>
      </c>
      <c r="I1293" s="57">
        <v>32.2761</v>
      </c>
      <c r="J1293" s="58" t="s">
        <v>1</v>
      </c>
      <c r="K1293">
        <v>4.2</v>
      </c>
      <c r="L1293" s="26"/>
      <c r="M1293" s="58">
        <v>55</v>
      </c>
      <c r="N1293" s="59" t="s">
        <v>24</v>
      </c>
      <c r="O1293" s="61" t="s">
        <v>1108</v>
      </c>
    </row>
    <row r="1294" spans="1:15" ht="75" x14ac:dyDescent="0.25">
      <c r="A1294">
        <v>9639</v>
      </c>
      <c r="B1294">
        <v>1</v>
      </c>
      <c r="C1294" s="56" t="s">
        <v>476</v>
      </c>
      <c r="D1294">
        <v>2018</v>
      </c>
      <c r="E1294">
        <v>16</v>
      </c>
      <c r="F1294" s="57">
        <v>48.75</v>
      </c>
      <c r="G1294">
        <v>2</v>
      </c>
      <c r="H1294" s="58">
        <v>33.466799999999999</v>
      </c>
      <c r="I1294" s="57">
        <v>27.713699999999999</v>
      </c>
      <c r="J1294" s="58" t="s">
        <v>1</v>
      </c>
      <c r="L1294" s="26"/>
      <c r="M1294" s="58">
        <v>128</v>
      </c>
      <c r="N1294" s="59" t="s">
        <v>824</v>
      </c>
      <c r="O1294" s="61" t="s">
        <v>825</v>
      </c>
    </row>
    <row r="1295" spans="1:15" ht="45" x14ac:dyDescent="0.25">
      <c r="A1295">
        <v>9640</v>
      </c>
      <c r="B1295">
        <v>1</v>
      </c>
      <c r="C1295" s="56" t="s">
        <v>476</v>
      </c>
      <c r="D1295">
        <v>2018</v>
      </c>
      <c r="E1295">
        <v>9</v>
      </c>
      <c r="F1295" s="57">
        <v>26.69</v>
      </c>
      <c r="G1295">
        <v>13</v>
      </c>
      <c r="H1295" s="58">
        <v>14.307499999999999</v>
      </c>
      <c r="I1295" s="57">
        <v>2.4704000000000002</v>
      </c>
      <c r="J1295" s="58" t="s">
        <v>1</v>
      </c>
      <c r="K1295">
        <v>4.0999999999999996</v>
      </c>
      <c r="L1295" s="26"/>
      <c r="M1295" s="58">
        <v>110</v>
      </c>
      <c r="N1295" s="59" t="s">
        <v>15</v>
      </c>
      <c r="O1295" s="61" t="s">
        <v>1109</v>
      </c>
    </row>
    <row r="1296" spans="1:15" ht="75" x14ac:dyDescent="0.25">
      <c r="A1296">
        <v>9641</v>
      </c>
      <c r="B1296">
        <v>1</v>
      </c>
      <c r="C1296" s="56" t="s">
        <v>476</v>
      </c>
      <c r="D1296">
        <v>2018</v>
      </c>
      <c r="E1296">
        <v>54</v>
      </c>
      <c r="F1296" s="57">
        <v>0.99</v>
      </c>
      <c r="G1296">
        <v>21</v>
      </c>
      <c r="H1296" s="58">
        <v>-33.424500000000002</v>
      </c>
      <c r="I1296" s="57">
        <v>33.881599999999999</v>
      </c>
      <c r="J1296" s="58" t="s">
        <v>1</v>
      </c>
      <c r="K1296">
        <v>4</v>
      </c>
      <c r="L1296" s="26">
        <v>2.5</v>
      </c>
      <c r="M1296" s="58">
        <v>39</v>
      </c>
      <c r="N1296" s="59" t="s">
        <v>902</v>
      </c>
      <c r="O1296" s="61"/>
    </row>
    <row r="1297" spans="1:15" ht="60" x14ac:dyDescent="0.25">
      <c r="A1297">
        <v>9642</v>
      </c>
      <c r="B1297">
        <v>2</v>
      </c>
      <c r="C1297" s="56" t="s">
        <v>476</v>
      </c>
      <c r="D1297">
        <v>2018</v>
      </c>
      <c r="E1297">
        <v>15</v>
      </c>
      <c r="F1297" s="57">
        <v>21.38</v>
      </c>
      <c r="G1297">
        <v>2</v>
      </c>
      <c r="H1297" s="58">
        <v>33.3078</v>
      </c>
      <c r="I1297" s="57">
        <v>-2.8618000000000001</v>
      </c>
      <c r="J1297" s="58" t="s">
        <v>1</v>
      </c>
      <c r="K1297">
        <v>3.3</v>
      </c>
      <c r="L1297" s="26"/>
      <c r="M1297" s="58">
        <v>81</v>
      </c>
      <c r="N1297" s="59" t="s">
        <v>28</v>
      </c>
      <c r="O1297" s="61" t="s">
        <v>1110</v>
      </c>
    </row>
    <row r="1298" spans="1:15" ht="60" x14ac:dyDescent="0.25">
      <c r="A1298">
        <v>9643</v>
      </c>
      <c r="B1298">
        <v>2</v>
      </c>
      <c r="C1298" s="56" t="s">
        <v>476</v>
      </c>
      <c r="D1298">
        <v>2018</v>
      </c>
      <c r="E1298">
        <v>31</v>
      </c>
      <c r="F1298" s="57">
        <v>47.42</v>
      </c>
      <c r="G1298">
        <v>13</v>
      </c>
      <c r="H1298" s="58">
        <v>23.694099999999999</v>
      </c>
      <c r="I1298" s="57">
        <v>-11.132300000000001</v>
      </c>
      <c r="J1298" s="58" t="s">
        <v>1</v>
      </c>
      <c r="K1298">
        <v>3.4</v>
      </c>
      <c r="L1298" s="26">
        <v>3.5</v>
      </c>
      <c r="M1298" s="58">
        <v>64</v>
      </c>
      <c r="N1298" s="59"/>
      <c r="O1298" s="61" t="s">
        <v>1034</v>
      </c>
    </row>
    <row r="1299" spans="1:15" ht="120" x14ac:dyDescent="0.25">
      <c r="A1299">
        <v>9644</v>
      </c>
      <c r="B1299">
        <v>2</v>
      </c>
      <c r="C1299" s="56" t="s">
        <v>476</v>
      </c>
      <c r="D1299">
        <v>2018</v>
      </c>
      <c r="E1299">
        <v>14</v>
      </c>
      <c r="F1299" s="57">
        <v>3.73</v>
      </c>
      <c r="G1299">
        <v>15</v>
      </c>
      <c r="H1299" s="58">
        <v>-1.1356999999999999</v>
      </c>
      <c r="I1299" s="57">
        <v>24.794799999999999</v>
      </c>
      <c r="J1299" s="58" t="s">
        <v>1</v>
      </c>
      <c r="K1299">
        <v>4.2</v>
      </c>
      <c r="L1299" s="26">
        <v>4</v>
      </c>
      <c r="M1299" s="58">
        <v>11</v>
      </c>
      <c r="N1299" s="59" t="s">
        <v>8</v>
      </c>
      <c r="O1299" s="61" t="s">
        <v>1111</v>
      </c>
    </row>
    <row r="1300" spans="1:15" ht="60" x14ac:dyDescent="0.25">
      <c r="A1300">
        <v>9645</v>
      </c>
      <c r="B1300">
        <v>2</v>
      </c>
      <c r="C1300" s="56" t="s">
        <v>476</v>
      </c>
      <c r="D1300">
        <v>2018</v>
      </c>
      <c r="E1300">
        <v>15</v>
      </c>
      <c r="F1300" s="57">
        <v>58.46</v>
      </c>
      <c r="G1300">
        <v>15</v>
      </c>
      <c r="H1300" s="58">
        <v>-8.1143000000000001</v>
      </c>
      <c r="I1300" s="57">
        <v>11.030900000000001</v>
      </c>
      <c r="J1300" s="58" t="s">
        <v>1</v>
      </c>
      <c r="K1300">
        <v>4.0999999999999996</v>
      </c>
      <c r="L1300" s="26"/>
      <c r="M1300" s="58">
        <v>20</v>
      </c>
      <c r="N1300" s="59" t="s">
        <v>885</v>
      </c>
      <c r="O1300" s="61" t="s">
        <v>1112</v>
      </c>
    </row>
    <row r="1301" spans="1:15" ht="45" x14ac:dyDescent="0.25">
      <c r="A1301">
        <v>9646</v>
      </c>
      <c r="B1301">
        <v>2</v>
      </c>
      <c r="C1301" s="56" t="s">
        <v>476</v>
      </c>
      <c r="D1301">
        <v>2018</v>
      </c>
      <c r="E1301">
        <v>21</v>
      </c>
      <c r="F1301" s="57">
        <v>58.34</v>
      </c>
      <c r="G1301">
        <v>15</v>
      </c>
      <c r="H1301" s="58">
        <v>25.381</v>
      </c>
      <c r="I1301" s="57">
        <v>-8.4500000000000006E-2</v>
      </c>
      <c r="J1301" s="58" t="s">
        <v>1</v>
      </c>
      <c r="K1301">
        <v>3.9</v>
      </c>
      <c r="L1301" s="26"/>
      <c r="M1301" s="58">
        <v>12</v>
      </c>
      <c r="N1301" s="59" t="s">
        <v>110</v>
      </c>
      <c r="O1301" s="61" t="s">
        <v>1113</v>
      </c>
    </row>
    <row r="1302" spans="1:15" ht="75" x14ac:dyDescent="0.25">
      <c r="A1302">
        <v>9647</v>
      </c>
      <c r="B1302">
        <v>2</v>
      </c>
      <c r="C1302" s="56" t="s">
        <v>476</v>
      </c>
      <c r="D1302">
        <v>2018</v>
      </c>
      <c r="E1302">
        <v>58</v>
      </c>
      <c r="F1302" s="57">
        <v>14.22</v>
      </c>
      <c r="G1302">
        <v>16</v>
      </c>
      <c r="H1302" s="58">
        <v>11.8855</v>
      </c>
      <c r="I1302" s="57">
        <v>1.3132999999999999</v>
      </c>
      <c r="J1302" s="58" t="s">
        <v>1</v>
      </c>
      <c r="K1302">
        <v>4.2</v>
      </c>
      <c r="L1302" s="26"/>
      <c r="M1302" s="58">
        <v>107</v>
      </c>
      <c r="N1302" s="59" t="s">
        <v>15</v>
      </c>
      <c r="O1302" s="61" t="s">
        <v>1114</v>
      </c>
    </row>
    <row r="1303" spans="1:15" ht="60" x14ac:dyDescent="0.25">
      <c r="A1303">
        <v>9648</v>
      </c>
      <c r="B1303">
        <v>2</v>
      </c>
      <c r="C1303" s="56" t="s">
        <v>476</v>
      </c>
      <c r="D1303">
        <v>2018</v>
      </c>
      <c r="E1303">
        <v>49</v>
      </c>
      <c r="F1303" s="57">
        <v>22.52</v>
      </c>
      <c r="G1303">
        <v>19</v>
      </c>
      <c r="H1303" s="58">
        <v>-3.2004000000000001</v>
      </c>
      <c r="I1303" s="57">
        <v>28.033000000000001</v>
      </c>
      <c r="J1303" s="58" t="s">
        <v>1</v>
      </c>
      <c r="K1303">
        <v>4</v>
      </c>
      <c r="L1303" s="26">
        <v>3.8</v>
      </c>
      <c r="M1303" s="58">
        <v>179</v>
      </c>
      <c r="N1303" s="59" t="s">
        <v>1115</v>
      </c>
      <c r="O1303" s="61" t="s">
        <v>1116</v>
      </c>
    </row>
    <row r="1304" spans="1:15" ht="45" x14ac:dyDescent="0.25">
      <c r="A1304">
        <v>9649</v>
      </c>
      <c r="B1304">
        <v>2</v>
      </c>
      <c r="C1304" s="56" t="s">
        <v>476</v>
      </c>
      <c r="D1304">
        <v>2018</v>
      </c>
      <c r="E1304">
        <v>59</v>
      </c>
      <c r="F1304" s="57">
        <v>37.770000000000003</v>
      </c>
      <c r="G1304">
        <v>20</v>
      </c>
      <c r="H1304" s="58">
        <v>36.5197</v>
      </c>
      <c r="I1304" s="57">
        <v>2.4658000000000002</v>
      </c>
      <c r="J1304" s="58" t="s">
        <v>1</v>
      </c>
      <c r="K1304">
        <v>4.3</v>
      </c>
      <c r="L1304" s="26">
        <v>4.3</v>
      </c>
      <c r="M1304" s="58">
        <v>114</v>
      </c>
      <c r="N1304" s="59" t="s">
        <v>10</v>
      </c>
      <c r="O1304" s="61" t="s">
        <v>1117</v>
      </c>
    </row>
    <row r="1305" spans="1:15" ht="75" x14ac:dyDescent="0.25">
      <c r="A1305">
        <v>9650</v>
      </c>
      <c r="B1305">
        <v>2</v>
      </c>
      <c r="C1305" s="56" t="s">
        <v>476</v>
      </c>
      <c r="D1305">
        <v>2018</v>
      </c>
      <c r="E1305">
        <v>59</v>
      </c>
      <c r="F1305" s="57">
        <v>57.47</v>
      </c>
      <c r="G1305">
        <v>20</v>
      </c>
      <c r="H1305" s="58">
        <v>36.918399999999998</v>
      </c>
      <c r="I1305" s="57">
        <v>3.4036</v>
      </c>
      <c r="J1305" s="58" t="s">
        <v>1</v>
      </c>
      <c r="K1305">
        <v>4.2</v>
      </c>
      <c r="L1305" s="26">
        <v>4.5</v>
      </c>
      <c r="M1305" s="58">
        <v>86</v>
      </c>
      <c r="N1305" s="59" t="s">
        <v>10</v>
      </c>
      <c r="O1305" s="61" t="s">
        <v>1118</v>
      </c>
    </row>
    <row r="1306" spans="1:15" ht="45" x14ac:dyDescent="0.25">
      <c r="A1306">
        <v>9651</v>
      </c>
      <c r="B1306">
        <v>2</v>
      </c>
      <c r="C1306" s="56" t="s">
        <v>476</v>
      </c>
      <c r="D1306">
        <v>2018</v>
      </c>
      <c r="E1306">
        <v>12</v>
      </c>
      <c r="F1306" s="57">
        <v>4.13</v>
      </c>
      <c r="G1306">
        <v>21</v>
      </c>
      <c r="H1306" s="58">
        <v>13.8569</v>
      </c>
      <c r="I1306" s="57">
        <v>1.6627000000000001</v>
      </c>
      <c r="J1306" s="58" t="s">
        <v>1</v>
      </c>
      <c r="K1306">
        <v>4.0999999999999996</v>
      </c>
      <c r="L1306" s="26"/>
      <c r="M1306" s="58">
        <v>127</v>
      </c>
      <c r="N1306" s="59" t="s">
        <v>15</v>
      </c>
      <c r="O1306" s="61" t="s">
        <v>1119</v>
      </c>
    </row>
    <row r="1307" spans="1:15" ht="90" x14ac:dyDescent="0.25">
      <c r="A1307">
        <v>9652</v>
      </c>
      <c r="B1307">
        <v>2</v>
      </c>
      <c r="C1307" s="56" t="s">
        <v>476</v>
      </c>
      <c r="D1307">
        <v>2018</v>
      </c>
      <c r="E1307">
        <v>47</v>
      </c>
      <c r="F1307" s="57">
        <v>20.67</v>
      </c>
      <c r="G1307">
        <v>22</v>
      </c>
      <c r="H1307" s="58">
        <v>-3.0426000000000002</v>
      </c>
      <c r="I1307" s="57">
        <v>37.7759</v>
      </c>
      <c r="J1307" s="58" t="s">
        <v>1</v>
      </c>
      <c r="K1307">
        <v>3.8</v>
      </c>
      <c r="L1307" s="26"/>
      <c r="M1307" s="58">
        <v>112</v>
      </c>
      <c r="N1307" s="59" t="s">
        <v>96</v>
      </c>
      <c r="O1307" s="61" t="s">
        <v>1120</v>
      </c>
    </row>
    <row r="1308" spans="1:15" ht="60" x14ac:dyDescent="0.25">
      <c r="A1308">
        <v>9653</v>
      </c>
      <c r="B1308">
        <v>3</v>
      </c>
      <c r="C1308" s="56" t="s">
        <v>476</v>
      </c>
      <c r="D1308">
        <v>2018</v>
      </c>
      <c r="E1308">
        <v>20</v>
      </c>
      <c r="F1308" s="57">
        <v>10.77</v>
      </c>
      <c r="G1308">
        <v>13</v>
      </c>
      <c r="H1308" s="58">
        <v>-24.470300000000002</v>
      </c>
      <c r="I1308" s="57">
        <v>29.5349</v>
      </c>
      <c r="J1308" s="58" t="s">
        <v>1</v>
      </c>
      <c r="K1308">
        <v>4.2</v>
      </c>
      <c r="L1308" s="26">
        <v>3.3</v>
      </c>
      <c r="M1308" s="58">
        <v>118</v>
      </c>
      <c r="N1308" s="59" t="s">
        <v>6</v>
      </c>
      <c r="O1308" s="61" t="s">
        <v>1121</v>
      </c>
    </row>
    <row r="1309" spans="1:15" ht="60" x14ac:dyDescent="0.25">
      <c r="A1309">
        <v>9654</v>
      </c>
      <c r="B1309">
        <v>3</v>
      </c>
      <c r="C1309" s="56" t="s">
        <v>476</v>
      </c>
      <c r="D1309">
        <v>2018</v>
      </c>
      <c r="E1309">
        <v>45</v>
      </c>
      <c r="F1309" s="57">
        <v>39.799999999999997</v>
      </c>
      <c r="G1309">
        <v>22</v>
      </c>
      <c r="H1309" s="58">
        <v>8.5502000000000002</v>
      </c>
      <c r="I1309" s="57">
        <v>-6.2789999999999999</v>
      </c>
      <c r="J1309" s="58" t="s">
        <v>1</v>
      </c>
      <c r="K1309">
        <v>4.0999999999999996</v>
      </c>
      <c r="L1309" s="26">
        <v>3.5</v>
      </c>
      <c r="M1309" s="58">
        <v>80</v>
      </c>
      <c r="N1309" s="59" t="s">
        <v>15</v>
      </c>
      <c r="O1309" s="61" t="s">
        <v>1122</v>
      </c>
    </row>
    <row r="1310" spans="1:15" ht="75" x14ac:dyDescent="0.25">
      <c r="A1310">
        <v>9655</v>
      </c>
      <c r="B1310">
        <v>4</v>
      </c>
      <c r="C1310" s="56" t="s">
        <v>476</v>
      </c>
      <c r="D1310">
        <v>2018</v>
      </c>
      <c r="E1310">
        <v>50</v>
      </c>
      <c r="F1310" s="57">
        <v>12.94</v>
      </c>
      <c r="G1310">
        <v>13</v>
      </c>
      <c r="H1310" s="58">
        <v>-27.024000000000001</v>
      </c>
      <c r="I1310" s="58">
        <v>28.236699999999999</v>
      </c>
      <c r="J1310" s="58" t="s">
        <v>1</v>
      </c>
      <c r="K1310" s="58">
        <v>3.6</v>
      </c>
      <c r="L1310" s="26">
        <v>2.7</v>
      </c>
      <c r="M1310" s="58">
        <v>137</v>
      </c>
      <c r="N1310" s="59" t="s">
        <v>6</v>
      </c>
      <c r="O1310" s="61" t="s">
        <v>1123</v>
      </c>
    </row>
    <row r="1311" spans="1:15" ht="45" x14ac:dyDescent="0.25">
      <c r="A1311">
        <v>9656</v>
      </c>
      <c r="B1311">
        <v>4</v>
      </c>
      <c r="C1311" s="56" t="s">
        <v>476</v>
      </c>
      <c r="D1311">
        <v>2018</v>
      </c>
      <c r="E1311">
        <v>44</v>
      </c>
      <c r="F1311" s="57">
        <v>14.87</v>
      </c>
      <c r="G1311">
        <v>15</v>
      </c>
      <c r="H1311" s="58">
        <v>17.5626</v>
      </c>
      <c r="I1311" s="57">
        <v>9.173</v>
      </c>
      <c r="J1311" s="58" t="s">
        <v>1</v>
      </c>
      <c r="L1311" s="26">
        <v>3.5</v>
      </c>
      <c r="M1311" s="58">
        <v>149</v>
      </c>
      <c r="N1311" s="59" t="s">
        <v>15</v>
      </c>
      <c r="O1311" s="61" t="s">
        <v>1124</v>
      </c>
    </row>
    <row r="1312" spans="1:15" ht="60" x14ac:dyDescent="0.25">
      <c r="A1312">
        <v>9657</v>
      </c>
      <c r="B1312">
        <v>5</v>
      </c>
      <c r="C1312" s="56" t="s">
        <v>476</v>
      </c>
      <c r="D1312">
        <v>2018</v>
      </c>
      <c r="E1312">
        <v>49</v>
      </c>
      <c r="F1312" s="57">
        <v>40.76</v>
      </c>
      <c r="G1312">
        <v>0</v>
      </c>
      <c r="H1312" s="58">
        <v>13.3201</v>
      </c>
      <c r="I1312" s="57">
        <v>0.31740000000000002</v>
      </c>
      <c r="J1312" s="58" t="s">
        <v>1</v>
      </c>
      <c r="K1312">
        <v>3.9</v>
      </c>
      <c r="L1312" s="26"/>
      <c r="M1312" s="58">
        <v>172</v>
      </c>
      <c r="N1312" s="59" t="s">
        <v>15</v>
      </c>
      <c r="O1312" s="61" t="s">
        <v>1125</v>
      </c>
    </row>
    <row r="1313" spans="1:15" ht="60" x14ac:dyDescent="0.25">
      <c r="A1313">
        <v>9658</v>
      </c>
      <c r="B1313">
        <v>5</v>
      </c>
      <c r="C1313" s="56" t="s">
        <v>476</v>
      </c>
      <c r="D1313">
        <v>2018</v>
      </c>
      <c r="E1313">
        <v>42</v>
      </c>
      <c r="F1313" s="57">
        <v>28.73</v>
      </c>
      <c r="G1313">
        <v>7</v>
      </c>
      <c r="H1313" s="58">
        <v>0.16270000000000001</v>
      </c>
      <c r="I1313" s="57">
        <v>37.322000000000003</v>
      </c>
      <c r="J1313" s="58" t="s">
        <v>1</v>
      </c>
      <c r="K1313">
        <v>4.4000000000000004</v>
      </c>
      <c r="L1313" s="26"/>
      <c r="M1313" s="58">
        <v>87</v>
      </c>
      <c r="N1313" s="59" t="s">
        <v>13</v>
      </c>
      <c r="O1313" s="61" t="s">
        <v>1126</v>
      </c>
    </row>
    <row r="1314" spans="1:15" ht="60" x14ac:dyDescent="0.25">
      <c r="A1314">
        <v>9659</v>
      </c>
      <c r="B1314">
        <v>5</v>
      </c>
      <c r="C1314" s="56" t="s">
        <v>476</v>
      </c>
      <c r="D1314">
        <v>2018</v>
      </c>
      <c r="E1314">
        <v>45</v>
      </c>
      <c r="F1314" s="57">
        <v>11.38</v>
      </c>
      <c r="G1314">
        <v>15</v>
      </c>
      <c r="H1314" s="58">
        <v>-26.880099999999999</v>
      </c>
      <c r="I1314" s="57">
        <v>26.938500000000001</v>
      </c>
      <c r="J1314" s="58" t="s">
        <v>1</v>
      </c>
      <c r="K1314">
        <v>4.3</v>
      </c>
      <c r="L1314" s="26">
        <v>2.1</v>
      </c>
      <c r="M1314" s="58">
        <v>128</v>
      </c>
      <c r="N1314" s="59" t="s">
        <v>6</v>
      </c>
      <c r="O1314" s="61" t="s">
        <v>1127</v>
      </c>
    </row>
    <row r="1315" spans="1:15" ht="45" x14ac:dyDescent="0.25">
      <c r="A1315">
        <v>9660</v>
      </c>
      <c r="B1315">
        <v>6</v>
      </c>
      <c r="C1315" s="56" t="s">
        <v>476</v>
      </c>
      <c r="D1315">
        <v>2018</v>
      </c>
      <c r="E1315">
        <v>10</v>
      </c>
      <c r="F1315" s="57">
        <v>19.309999999999999</v>
      </c>
      <c r="G1315">
        <v>1</v>
      </c>
      <c r="H1315" s="58">
        <v>-1.8257000000000001</v>
      </c>
      <c r="I1315" s="57">
        <v>35.2012</v>
      </c>
      <c r="J1315" s="58" t="s">
        <v>1</v>
      </c>
      <c r="K1315">
        <v>3.7</v>
      </c>
      <c r="L1315" s="26"/>
      <c r="M1315" s="58">
        <v>175</v>
      </c>
      <c r="N1315" s="59" t="s">
        <v>13</v>
      </c>
      <c r="O1315" s="61" t="s">
        <v>1128</v>
      </c>
    </row>
    <row r="1316" spans="1:15" ht="75" x14ac:dyDescent="0.25">
      <c r="A1316">
        <v>9661</v>
      </c>
      <c r="B1316">
        <v>6</v>
      </c>
      <c r="C1316" s="56" t="s">
        <v>476</v>
      </c>
      <c r="D1316">
        <v>2018</v>
      </c>
      <c r="E1316">
        <v>10</v>
      </c>
      <c r="F1316" s="57">
        <v>59.7</v>
      </c>
      <c r="G1316">
        <v>2</v>
      </c>
      <c r="H1316" s="58">
        <v>-33.380099999999999</v>
      </c>
      <c r="I1316" s="57">
        <v>29.4621</v>
      </c>
      <c r="J1316" s="58" t="s">
        <v>1</v>
      </c>
      <c r="K1316">
        <v>4.2</v>
      </c>
      <c r="L1316" s="26"/>
      <c r="M1316" s="58">
        <v>92</v>
      </c>
      <c r="N1316" s="59" t="s">
        <v>902</v>
      </c>
      <c r="O1316" s="61"/>
    </row>
    <row r="1317" spans="1:15" ht="45" x14ac:dyDescent="0.25">
      <c r="A1317">
        <v>9662</v>
      </c>
      <c r="B1317">
        <v>6</v>
      </c>
      <c r="C1317" s="56" t="s">
        <v>476</v>
      </c>
      <c r="D1317">
        <v>2018</v>
      </c>
      <c r="E1317">
        <v>37</v>
      </c>
      <c r="F1317" s="57">
        <v>18.34</v>
      </c>
      <c r="G1317">
        <v>3</v>
      </c>
      <c r="H1317" s="58">
        <v>26.868200000000002</v>
      </c>
      <c r="I1317" s="57">
        <v>21.922899999999998</v>
      </c>
      <c r="J1317" s="58" t="s">
        <v>1</v>
      </c>
      <c r="K1317">
        <v>3.6</v>
      </c>
      <c r="L1317" s="26"/>
      <c r="M1317" s="58">
        <v>24</v>
      </c>
      <c r="N1317" s="59" t="s">
        <v>48</v>
      </c>
      <c r="O1317" s="61" t="s">
        <v>1032</v>
      </c>
    </row>
    <row r="1318" spans="1:15" ht="45" x14ac:dyDescent="0.25">
      <c r="A1318">
        <v>9663</v>
      </c>
      <c r="B1318">
        <v>6</v>
      </c>
      <c r="C1318" s="56" t="s">
        <v>476</v>
      </c>
      <c r="D1318">
        <v>2018</v>
      </c>
      <c r="E1318">
        <v>59</v>
      </c>
      <c r="F1318" s="57">
        <v>3.38</v>
      </c>
      <c r="G1318">
        <v>3</v>
      </c>
      <c r="H1318" s="58">
        <v>31.678000000000001</v>
      </c>
      <c r="I1318" s="57">
        <v>10.376099999999999</v>
      </c>
      <c r="J1318" s="58" t="s">
        <v>1</v>
      </c>
      <c r="K1318">
        <v>3.5</v>
      </c>
      <c r="L1318" s="26"/>
      <c r="M1318" s="58">
        <v>128</v>
      </c>
      <c r="N1318" s="59" t="s">
        <v>135</v>
      </c>
      <c r="O1318" s="61" t="s">
        <v>303</v>
      </c>
    </row>
    <row r="1319" spans="1:15" ht="45" x14ac:dyDescent="0.25">
      <c r="A1319">
        <v>9664</v>
      </c>
      <c r="B1319">
        <v>6</v>
      </c>
      <c r="C1319" s="56" t="s">
        <v>476</v>
      </c>
      <c r="D1319">
        <v>2018</v>
      </c>
      <c r="E1319">
        <v>28</v>
      </c>
      <c r="F1319" s="57">
        <v>52.17</v>
      </c>
      <c r="G1319">
        <v>5</v>
      </c>
      <c r="H1319" s="58">
        <v>10.6914</v>
      </c>
      <c r="I1319" s="57">
        <v>-7.4964000000000004</v>
      </c>
      <c r="J1319" s="58" t="s">
        <v>1</v>
      </c>
      <c r="K1319">
        <v>4.4000000000000004</v>
      </c>
      <c r="L1319" s="26"/>
      <c r="M1319" s="58">
        <v>110</v>
      </c>
      <c r="N1319" s="59" t="s">
        <v>15</v>
      </c>
      <c r="O1319" s="61" t="s">
        <v>1129</v>
      </c>
    </row>
    <row r="1320" spans="1:15" ht="45" x14ac:dyDescent="0.25">
      <c r="A1320">
        <v>9665</v>
      </c>
      <c r="B1320">
        <v>6</v>
      </c>
      <c r="C1320" s="56" t="s">
        <v>476</v>
      </c>
      <c r="D1320">
        <v>2018</v>
      </c>
      <c r="E1320">
        <v>54</v>
      </c>
      <c r="F1320" s="57">
        <v>12.22</v>
      </c>
      <c r="G1320">
        <v>13</v>
      </c>
      <c r="H1320" s="58">
        <v>14.793799999999999</v>
      </c>
      <c r="I1320" s="57">
        <v>-2.5255999999999998</v>
      </c>
      <c r="J1320" s="58" t="s">
        <v>1</v>
      </c>
      <c r="L1320" s="26"/>
      <c r="M1320" s="58">
        <v>114</v>
      </c>
      <c r="N1320" s="59" t="s">
        <v>15</v>
      </c>
      <c r="O1320" s="61" t="s">
        <v>1130</v>
      </c>
    </row>
    <row r="1321" spans="1:15" ht="105" x14ac:dyDescent="0.25">
      <c r="A1321">
        <v>9666</v>
      </c>
      <c r="B1321">
        <v>6</v>
      </c>
      <c r="C1321" s="56" t="s">
        <v>476</v>
      </c>
      <c r="D1321">
        <v>2018</v>
      </c>
      <c r="E1321">
        <v>39</v>
      </c>
      <c r="F1321" s="57">
        <v>37.700000000000003</v>
      </c>
      <c r="G1321">
        <v>15</v>
      </c>
      <c r="H1321" s="58">
        <v>-27.285</v>
      </c>
      <c r="I1321" s="57">
        <v>27.591899999999999</v>
      </c>
      <c r="J1321" s="58" t="s">
        <v>1</v>
      </c>
      <c r="K1321">
        <v>4.0999999999999996</v>
      </c>
      <c r="L1321" s="26"/>
      <c r="M1321" s="58">
        <v>139</v>
      </c>
      <c r="N1321" s="59" t="s">
        <v>6</v>
      </c>
      <c r="O1321" s="61" t="s">
        <v>1131</v>
      </c>
    </row>
    <row r="1322" spans="1:15" ht="45" x14ac:dyDescent="0.25">
      <c r="A1322">
        <v>9667</v>
      </c>
      <c r="B1322">
        <v>6</v>
      </c>
      <c r="C1322" s="56" t="s">
        <v>476</v>
      </c>
      <c r="D1322">
        <v>2018</v>
      </c>
      <c r="E1322">
        <v>33</v>
      </c>
      <c r="F1322" s="57">
        <v>50.24</v>
      </c>
      <c r="G1322">
        <v>20</v>
      </c>
      <c r="H1322" s="58">
        <v>29.8536</v>
      </c>
      <c r="I1322" s="57">
        <v>17.737200000000001</v>
      </c>
      <c r="J1322" s="58" t="s">
        <v>1</v>
      </c>
      <c r="K1322">
        <v>3.5</v>
      </c>
      <c r="L1322" s="26"/>
      <c r="M1322" s="58">
        <v>112</v>
      </c>
      <c r="N1322" s="59" t="s">
        <v>48</v>
      </c>
      <c r="O1322" s="61" t="s">
        <v>1132</v>
      </c>
    </row>
    <row r="1323" spans="1:15" ht="90" x14ac:dyDescent="0.25">
      <c r="A1323">
        <v>9668</v>
      </c>
      <c r="B1323">
        <v>7</v>
      </c>
      <c r="C1323" s="56" t="s">
        <v>476</v>
      </c>
      <c r="D1323">
        <v>2018</v>
      </c>
      <c r="E1323">
        <v>24</v>
      </c>
      <c r="F1323" s="57">
        <v>50.05</v>
      </c>
      <c r="G1323">
        <v>8</v>
      </c>
      <c r="H1323" s="58">
        <v>34.746899999999997</v>
      </c>
      <c r="I1323" s="57">
        <v>2.4255</v>
      </c>
      <c r="J1323" s="58" t="s">
        <v>1</v>
      </c>
      <c r="K1323">
        <v>3.8</v>
      </c>
      <c r="L1323" s="26"/>
      <c r="M1323" s="58">
        <v>123</v>
      </c>
      <c r="N1323" s="59" t="s">
        <v>10</v>
      </c>
      <c r="O1323" s="61" t="s">
        <v>1133</v>
      </c>
    </row>
    <row r="1324" spans="1:15" ht="60" x14ac:dyDescent="0.25">
      <c r="A1324">
        <v>9669</v>
      </c>
      <c r="B1324">
        <v>8</v>
      </c>
      <c r="C1324" s="56" t="s">
        <v>476</v>
      </c>
      <c r="D1324">
        <v>2018</v>
      </c>
      <c r="E1324">
        <v>1</v>
      </c>
      <c r="F1324" s="57">
        <v>52.77</v>
      </c>
      <c r="G1324">
        <v>11</v>
      </c>
      <c r="H1324" s="58">
        <v>-31.0075</v>
      </c>
      <c r="I1324" s="57">
        <v>27.860700000000001</v>
      </c>
      <c r="J1324" s="58" t="s">
        <v>1</v>
      </c>
      <c r="K1324">
        <v>3.9</v>
      </c>
      <c r="L1324" s="26"/>
      <c r="M1324" s="58">
        <v>50</v>
      </c>
      <c r="N1324" s="59" t="s">
        <v>6</v>
      </c>
      <c r="O1324" s="61" t="s">
        <v>618</v>
      </c>
    </row>
    <row r="1325" spans="1:15" ht="45" x14ac:dyDescent="0.25">
      <c r="A1325">
        <v>9670</v>
      </c>
      <c r="B1325">
        <v>8</v>
      </c>
      <c r="C1325" s="56" t="s">
        <v>476</v>
      </c>
      <c r="D1325">
        <v>2018</v>
      </c>
      <c r="E1325">
        <v>18</v>
      </c>
      <c r="F1325" s="57">
        <v>55.79</v>
      </c>
      <c r="G1325">
        <v>16</v>
      </c>
      <c r="H1325" s="58">
        <v>27.322600000000001</v>
      </c>
      <c r="I1325" s="57">
        <v>0.99039999999999995</v>
      </c>
      <c r="J1325" s="58" t="s">
        <v>1</v>
      </c>
      <c r="K1325">
        <v>4.0999999999999996</v>
      </c>
      <c r="L1325" s="26">
        <v>4.7</v>
      </c>
      <c r="M1325" s="58">
        <v>126</v>
      </c>
      <c r="N1325" s="59" t="s">
        <v>110</v>
      </c>
      <c r="O1325" s="61" t="s">
        <v>1134</v>
      </c>
    </row>
    <row r="1326" spans="1:15" ht="90" x14ac:dyDescent="0.25">
      <c r="A1326">
        <v>9671</v>
      </c>
      <c r="B1326">
        <v>9</v>
      </c>
      <c r="C1326" s="56" t="s">
        <v>476</v>
      </c>
      <c r="D1326">
        <v>2018</v>
      </c>
      <c r="E1326">
        <v>0</v>
      </c>
      <c r="F1326" s="57">
        <v>52.85</v>
      </c>
      <c r="G1326">
        <v>9</v>
      </c>
      <c r="H1326" s="58">
        <v>-2.6541000000000001</v>
      </c>
      <c r="I1326" s="57">
        <v>28.581499999999998</v>
      </c>
      <c r="J1326" s="58" t="s">
        <v>1</v>
      </c>
      <c r="K1326">
        <v>4.3</v>
      </c>
      <c r="L1326" s="26"/>
      <c r="M1326" s="58">
        <v>153</v>
      </c>
      <c r="N1326" s="59" t="s">
        <v>429</v>
      </c>
      <c r="O1326" s="61" t="s">
        <v>1135</v>
      </c>
    </row>
    <row r="1327" spans="1:15" ht="75" x14ac:dyDescent="0.25">
      <c r="A1327">
        <v>9672</v>
      </c>
      <c r="B1327">
        <v>9</v>
      </c>
      <c r="C1327" s="56" t="s">
        <v>476</v>
      </c>
      <c r="D1327">
        <v>2018</v>
      </c>
      <c r="E1327">
        <v>2</v>
      </c>
      <c r="F1327" s="57">
        <v>51.98</v>
      </c>
      <c r="G1327">
        <v>9</v>
      </c>
      <c r="H1327" s="58">
        <v>-1.2822</v>
      </c>
      <c r="I1327" s="57">
        <v>36.418900000000001</v>
      </c>
      <c r="J1327" s="58" t="s">
        <v>1</v>
      </c>
      <c r="K1327">
        <v>4.0999999999999996</v>
      </c>
      <c r="L1327" s="26"/>
      <c r="M1327" s="58">
        <v>2</v>
      </c>
      <c r="N1327" s="59" t="s">
        <v>13</v>
      </c>
      <c r="O1327" s="61" t="s">
        <v>1136</v>
      </c>
    </row>
    <row r="1328" spans="1:15" ht="60" x14ac:dyDescent="0.25">
      <c r="A1328">
        <v>9673</v>
      </c>
      <c r="B1328">
        <v>9</v>
      </c>
      <c r="C1328" s="56" t="s">
        <v>476</v>
      </c>
      <c r="D1328">
        <v>2018</v>
      </c>
      <c r="E1328">
        <v>29</v>
      </c>
      <c r="F1328" s="57">
        <v>37.07</v>
      </c>
      <c r="G1328">
        <v>17</v>
      </c>
      <c r="H1328" s="58">
        <v>-29.416</v>
      </c>
      <c r="I1328" s="57">
        <v>25.019500000000001</v>
      </c>
      <c r="J1328" s="58" t="s">
        <v>1</v>
      </c>
      <c r="K1328">
        <v>3.9</v>
      </c>
      <c r="L1328" s="26"/>
      <c r="M1328" s="58">
        <v>118</v>
      </c>
      <c r="N1328" s="59" t="s">
        <v>6</v>
      </c>
      <c r="O1328" s="61" t="s">
        <v>236</v>
      </c>
    </row>
    <row r="1329" spans="1:15" ht="45" x14ac:dyDescent="0.25">
      <c r="A1329">
        <v>9674</v>
      </c>
      <c r="B1329">
        <v>10</v>
      </c>
      <c r="C1329" s="56" t="s">
        <v>476</v>
      </c>
      <c r="D1329">
        <v>2018</v>
      </c>
      <c r="E1329">
        <v>3</v>
      </c>
      <c r="F1329" s="57">
        <v>23.78</v>
      </c>
      <c r="G1329">
        <v>4</v>
      </c>
      <c r="H1329" s="58">
        <v>15.355499999999999</v>
      </c>
      <c r="I1329" s="57">
        <v>-4.8022999999999998</v>
      </c>
      <c r="J1329" s="58" t="s">
        <v>1</v>
      </c>
      <c r="K1329">
        <v>3.7</v>
      </c>
      <c r="L1329" s="26">
        <v>2.7</v>
      </c>
      <c r="M1329" s="58">
        <v>80</v>
      </c>
      <c r="N1329" s="59" t="s">
        <v>15</v>
      </c>
      <c r="O1329" s="61" t="s">
        <v>1137</v>
      </c>
    </row>
    <row r="1330" spans="1:15" ht="45" x14ac:dyDescent="0.25">
      <c r="A1330">
        <v>9675</v>
      </c>
      <c r="B1330">
        <v>10</v>
      </c>
      <c r="C1330" s="56" t="s">
        <v>476</v>
      </c>
      <c r="D1330">
        <v>2018</v>
      </c>
      <c r="E1330">
        <v>22</v>
      </c>
      <c r="F1330" s="57">
        <v>54.16</v>
      </c>
      <c r="G1330">
        <v>5</v>
      </c>
      <c r="H1330" s="58">
        <v>30.603100000000001</v>
      </c>
      <c r="I1330" s="57">
        <v>32.949800000000003</v>
      </c>
      <c r="J1330" s="58" t="s">
        <v>1</v>
      </c>
      <c r="K1330">
        <v>3.7</v>
      </c>
      <c r="L1330" s="26">
        <v>3.4</v>
      </c>
      <c r="M1330" s="58">
        <v>81</v>
      </c>
      <c r="N1330" s="59" t="s">
        <v>72</v>
      </c>
      <c r="O1330" s="61" t="s">
        <v>1138</v>
      </c>
    </row>
    <row r="1331" spans="1:15" ht="45" x14ac:dyDescent="0.25">
      <c r="A1331">
        <v>9676</v>
      </c>
      <c r="B1331">
        <v>10</v>
      </c>
      <c r="C1331" s="56" t="s">
        <v>476</v>
      </c>
      <c r="D1331">
        <v>2018</v>
      </c>
      <c r="E1331">
        <v>41</v>
      </c>
      <c r="F1331" s="57">
        <v>57.68</v>
      </c>
      <c r="G1331">
        <v>11</v>
      </c>
      <c r="H1331" s="58">
        <v>14.118600000000001</v>
      </c>
      <c r="I1331" s="57">
        <v>0.47149999999999997</v>
      </c>
      <c r="J1331" s="58" t="s">
        <v>1</v>
      </c>
      <c r="K1331">
        <v>3.9</v>
      </c>
      <c r="L1331" s="26"/>
      <c r="M1331" s="58">
        <v>46</v>
      </c>
      <c r="N1331" s="59" t="s">
        <v>15</v>
      </c>
      <c r="O1331" s="61" t="s">
        <v>1139</v>
      </c>
    </row>
    <row r="1332" spans="1:15" ht="60" x14ac:dyDescent="0.25">
      <c r="A1332">
        <v>9677</v>
      </c>
      <c r="B1332">
        <v>10</v>
      </c>
      <c r="C1332" s="56" t="s">
        <v>476</v>
      </c>
      <c r="D1332">
        <v>2018</v>
      </c>
      <c r="E1332">
        <v>48</v>
      </c>
      <c r="F1332" s="57">
        <v>5.57</v>
      </c>
      <c r="G1332">
        <v>20</v>
      </c>
      <c r="H1332" s="58">
        <v>-28.556000000000001</v>
      </c>
      <c r="I1332" s="57">
        <v>24.828900000000001</v>
      </c>
      <c r="J1332" s="58" t="s">
        <v>1</v>
      </c>
      <c r="K1332">
        <v>4.4000000000000004</v>
      </c>
      <c r="L1332" s="26"/>
      <c r="M1332" s="58">
        <v>102</v>
      </c>
      <c r="N1332" s="59" t="s">
        <v>6</v>
      </c>
      <c r="O1332" s="61" t="s">
        <v>257</v>
      </c>
    </row>
    <row r="1333" spans="1:15" ht="75" x14ac:dyDescent="0.25">
      <c r="A1333">
        <v>9678</v>
      </c>
      <c r="B1333">
        <v>11</v>
      </c>
      <c r="C1333" s="56" t="s">
        <v>476</v>
      </c>
      <c r="D1333">
        <v>2018</v>
      </c>
      <c r="E1333">
        <v>59</v>
      </c>
      <c r="F1333" s="57">
        <v>43.23</v>
      </c>
      <c r="G1333">
        <v>3</v>
      </c>
      <c r="H1333" s="58">
        <v>-34.228000000000002</v>
      </c>
      <c r="I1333" s="57">
        <v>28.8657</v>
      </c>
      <c r="J1333" s="58" t="s">
        <v>1</v>
      </c>
      <c r="K1333">
        <v>4.2</v>
      </c>
      <c r="L1333" s="26"/>
      <c r="M1333" s="58">
        <v>94</v>
      </c>
      <c r="N1333" s="59" t="s">
        <v>902</v>
      </c>
      <c r="O1333" s="61"/>
    </row>
    <row r="1334" spans="1:15" ht="60" x14ac:dyDescent="0.25">
      <c r="A1334">
        <v>9679</v>
      </c>
      <c r="B1334">
        <v>11</v>
      </c>
      <c r="C1334" s="56" t="s">
        <v>476</v>
      </c>
      <c r="D1334">
        <v>2018</v>
      </c>
      <c r="E1334">
        <v>29</v>
      </c>
      <c r="F1334" s="57">
        <v>47.81</v>
      </c>
      <c r="G1334">
        <v>21</v>
      </c>
      <c r="H1334" s="58">
        <v>-26.019100000000002</v>
      </c>
      <c r="I1334" s="57">
        <v>27.307500000000001</v>
      </c>
      <c r="J1334" s="58" t="s">
        <v>1</v>
      </c>
      <c r="K1334">
        <v>4</v>
      </c>
      <c r="L1334" s="26"/>
      <c r="M1334" s="58">
        <v>119</v>
      </c>
      <c r="N1334" s="59" t="s">
        <v>6</v>
      </c>
      <c r="O1334" s="61" t="s">
        <v>1140</v>
      </c>
    </row>
    <row r="1335" spans="1:15" ht="120" x14ac:dyDescent="0.25">
      <c r="A1335">
        <v>9680</v>
      </c>
      <c r="B1335">
        <v>12</v>
      </c>
      <c r="C1335" s="56" t="s">
        <v>476</v>
      </c>
      <c r="D1335">
        <v>2018</v>
      </c>
      <c r="E1335">
        <v>24</v>
      </c>
      <c r="F1335" s="57">
        <v>57.75</v>
      </c>
      <c r="G1335">
        <v>10</v>
      </c>
      <c r="H1335" s="58">
        <v>15.2965</v>
      </c>
      <c r="I1335" s="57">
        <v>1.4014</v>
      </c>
      <c r="J1335" s="58" t="s">
        <v>1</v>
      </c>
      <c r="K1335">
        <v>4</v>
      </c>
      <c r="L1335" s="26"/>
      <c r="M1335" s="58">
        <v>89</v>
      </c>
      <c r="N1335" s="59" t="s">
        <v>15</v>
      </c>
      <c r="O1335" s="61" t="s">
        <v>1141</v>
      </c>
    </row>
    <row r="1336" spans="1:15" ht="60" x14ac:dyDescent="0.25">
      <c r="A1336">
        <v>9681</v>
      </c>
      <c r="B1336">
        <v>12</v>
      </c>
      <c r="C1336" s="56" t="s">
        <v>476</v>
      </c>
      <c r="D1336">
        <v>2018</v>
      </c>
      <c r="E1336">
        <v>17</v>
      </c>
      <c r="F1336" s="57">
        <v>7.62</v>
      </c>
      <c r="G1336">
        <v>11</v>
      </c>
      <c r="H1336" s="58">
        <v>19.5715</v>
      </c>
      <c r="I1336" s="57">
        <v>-8.7891999999999992</v>
      </c>
      <c r="J1336" s="58" t="s">
        <v>1</v>
      </c>
      <c r="K1336">
        <v>3.6</v>
      </c>
      <c r="L1336" s="26">
        <v>3.3</v>
      </c>
      <c r="M1336" s="58">
        <v>77</v>
      </c>
      <c r="N1336" s="59" t="s">
        <v>15</v>
      </c>
      <c r="O1336" s="61" t="s">
        <v>1142</v>
      </c>
    </row>
    <row r="1337" spans="1:15" ht="75" x14ac:dyDescent="0.25">
      <c r="A1337">
        <v>9682</v>
      </c>
      <c r="B1337">
        <v>12</v>
      </c>
      <c r="C1337" s="56" t="s">
        <v>476</v>
      </c>
      <c r="D1337">
        <v>2018</v>
      </c>
      <c r="E1337">
        <v>0</v>
      </c>
      <c r="F1337" s="57">
        <v>48.6</v>
      </c>
      <c r="G1337">
        <v>23</v>
      </c>
      <c r="H1337" s="58">
        <v>33.906199999999998</v>
      </c>
      <c r="I1337" s="57">
        <v>-7.5156000000000001</v>
      </c>
      <c r="J1337" s="58" t="s">
        <v>1</v>
      </c>
      <c r="K1337">
        <v>4.0999999999999996</v>
      </c>
      <c r="L1337" s="26"/>
      <c r="M1337" s="58">
        <v>90</v>
      </c>
      <c r="N1337" s="59" t="s">
        <v>28</v>
      </c>
      <c r="O1337" s="61" t="s">
        <v>1143</v>
      </c>
    </row>
    <row r="1338" spans="1:15" ht="105" x14ac:dyDescent="0.25">
      <c r="A1338">
        <v>9683</v>
      </c>
      <c r="B1338" s="71">
        <v>13</v>
      </c>
      <c r="C1338" s="56" t="s">
        <v>476</v>
      </c>
      <c r="D1338">
        <v>2018</v>
      </c>
      <c r="E1338" s="71">
        <v>53</v>
      </c>
      <c r="F1338" s="72">
        <v>16.940000000000001</v>
      </c>
      <c r="G1338" s="71">
        <v>0</v>
      </c>
      <c r="H1338" s="73">
        <v>5.9375999999999998</v>
      </c>
      <c r="I1338" s="72">
        <v>-1.4896</v>
      </c>
      <c r="J1338" s="73" t="s">
        <v>1</v>
      </c>
      <c r="K1338" s="71">
        <v>4</v>
      </c>
      <c r="L1338" s="73"/>
      <c r="M1338" s="73">
        <v>163</v>
      </c>
      <c r="N1338" s="74" t="s">
        <v>15</v>
      </c>
      <c r="O1338" s="75" t="s">
        <v>1144</v>
      </c>
    </row>
    <row r="1339" spans="1:15" ht="60" x14ac:dyDescent="0.25">
      <c r="A1339">
        <v>9684</v>
      </c>
      <c r="B1339">
        <v>13</v>
      </c>
      <c r="C1339" s="56" t="s">
        <v>476</v>
      </c>
      <c r="D1339">
        <v>2018</v>
      </c>
      <c r="E1339">
        <v>1</v>
      </c>
      <c r="F1339" s="57">
        <v>4.7699999999999996</v>
      </c>
      <c r="G1339">
        <v>7</v>
      </c>
      <c r="H1339" s="58">
        <v>8.6206999999999994</v>
      </c>
      <c r="I1339" s="57">
        <v>-10.669600000000001</v>
      </c>
      <c r="J1339" s="58" t="s">
        <v>1</v>
      </c>
      <c r="K1339">
        <v>3.7</v>
      </c>
      <c r="L1339" s="26">
        <v>2.8</v>
      </c>
      <c r="M1339" s="58">
        <v>149</v>
      </c>
      <c r="N1339" s="59" t="s">
        <v>15</v>
      </c>
      <c r="O1339" s="61" t="s">
        <v>1145</v>
      </c>
    </row>
    <row r="1340" spans="1:15" ht="105" x14ac:dyDescent="0.25">
      <c r="A1340">
        <v>9685</v>
      </c>
      <c r="B1340">
        <v>13</v>
      </c>
      <c r="C1340" s="56" t="s">
        <v>476</v>
      </c>
      <c r="D1340">
        <v>2018</v>
      </c>
      <c r="E1340">
        <v>21</v>
      </c>
      <c r="F1340" s="57">
        <v>32.9</v>
      </c>
      <c r="G1340">
        <v>17</v>
      </c>
      <c r="H1340" s="58">
        <v>-24.468499999999999</v>
      </c>
      <c r="I1340" s="57">
        <v>28.929500000000001</v>
      </c>
      <c r="J1340" s="58" t="s">
        <v>1</v>
      </c>
      <c r="K1340">
        <v>4.0999999999999996</v>
      </c>
      <c r="L1340" s="26"/>
      <c r="M1340" s="58">
        <v>92</v>
      </c>
      <c r="N1340" s="59" t="s">
        <v>6</v>
      </c>
      <c r="O1340" s="61" t="s">
        <v>1146</v>
      </c>
    </row>
    <row r="1341" spans="1:15" ht="45" x14ac:dyDescent="0.25">
      <c r="A1341">
        <v>9686</v>
      </c>
      <c r="B1341">
        <v>13</v>
      </c>
      <c r="C1341" s="56" t="s">
        <v>476</v>
      </c>
      <c r="D1341">
        <v>2018</v>
      </c>
      <c r="E1341">
        <v>27</v>
      </c>
      <c r="F1341" s="57">
        <v>34.69</v>
      </c>
      <c r="G1341">
        <v>18</v>
      </c>
      <c r="H1341" s="58">
        <v>26.2074</v>
      </c>
      <c r="I1341" s="57">
        <v>19.827000000000002</v>
      </c>
      <c r="J1341" s="58" t="s">
        <v>1</v>
      </c>
      <c r="K1341">
        <v>4</v>
      </c>
      <c r="L1341" s="26"/>
      <c r="M1341" s="58">
        <v>130</v>
      </c>
      <c r="N1341" s="59" t="s">
        <v>48</v>
      </c>
      <c r="O1341" s="61" t="s">
        <v>1032</v>
      </c>
    </row>
    <row r="1342" spans="1:15" ht="75" x14ac:dyDescent="0.25">
      <c r="A1342">
        <v>9687</v>
      </c>
      <c r="B1342">
        <v>13</v>
      </c>
      <c r="C1342" s="56" t="s">
        <v>476</v>
      </c>
      <c r="D1342">
        <v>2018</v>
      </c>
      <c r="E1342">
        <v>35</v>
      </c>
      <c r="F1342" s="57">
        <v>20.49</v>
      </c>
      <c r="G1342">
        <v>19</v>
      </c>
      <c r="H1342" s="58">
        <v>24.703499999999998</v>
      </c>
      <c r="I1342" s="57">
        <v>-11.3987</v>
      </c>
      <c r="J1342" s="58" t="s">
        <v>1</v>
      </c>
      <c r="K1342">
        <v>3.7</v>
      </c>
      <c r="L1342" s="26"/>
      <c r="M1342" s="58">
        <v>124</v>
      </c>
      <c r="N1342" s="59" t="s">
        <v>15</v>
      </c>
      <c r="O1342" s="61" t="s">
        <v>1147</v>
      </c>
    </row>
    <row r="1343" spans="1:15" ht="60" x14ac:dyDescent="0.25">
      <c r="A1343">
        <v>9688</v>
      </c>
      <c r="B1343">
        <v>14</v>
      </c>
      <c r="C1343" s="56" t="s">
        <v>476</v>
      </c>
      <c r="D1343">
        <v>2018</v>
      </c>
      <c r="E1343">
        <v>41</v>
      </c>
      <c r="F1343" s="57">
        <v>42.67</v>
      </c>
      <c r="G1343">
        <v>8</v>
      </c>
      <c r="H1343" s="58">
        <v>13.1012</v>
      </c>
      <c r="I1343" s="57">
        <v>0.31540000000000001</v>
      </c>
      <c r="J1343" s="58" t="s">
        <v>1</v>
      </c>
      <c r="K1343">
        <v>3.6</v>
      </c>
      <c r="L1343" s="26"/>
      <c r="M1343" s="58">
        <v>3</v>
      </c>
      <c r="N1343" s="59" t="s">
        <v>15</v>
      </c>
      <c r="O1343" s="61" t="s">
        <v>1148</v>
      </c>
    </row>
    <row r="1344" spans="1:15" ht="75" x14ac:dyDescent="0.25">
      <c r="A1344">
        <v>9689</v>
      </c>
      <c r="B1344">
        <v>14</v>
      </c>
      <c r="C1344" s="56" t="s">
        <v>476</v>
      </c>
      <c r="D1344">
        <v>2018</v>
      </c>
      <c r="E1344">
        <v>9</v>
      </c>
      <c r="F1344" s="57">
        <v>39.06</v>
      </c>
      <c r="G1344">
        <v>15</v>
      </c>
      <c r="H1344" s="58">
        <v>28.820699999999999</v>
      </c>
      <c r="I1344" s="57">
        <v>34.7744</v>
      </c>
      <c r="J1344" s="58" t="s">
        <v>1</v>
      </c>
      <c r="K1344">
        <v>3.9</v>
      </c>
      <c r="L1344" s="26"/>
      <c r="M1344" s="58">
        <v>83</v>
      </c>
      <c r="N1344" s="59" t="s">
        <v>72</v>
      </c>
      <c r="O1344" s="61" t="s">
        <v>1149</v>
      </c>
    </row>
    <row r="1345" spans="1:15" ht="105" x14ac:dyDescent="0.25">
      <c r="A1345">
        <v>9690</v>
      </c>
      <c r="B1345">
        <v>15</v>
      </c>
      <c r="C1345" s="56" t="s">
        <v>476</v>
      </c>
      <c r="D1345">
        <v>2018</v>
      </c>
      <c r="E1345">
        <v>46</v>
      </c>
      <c r="F1345" s="57">
        <v>14.63</v>
      </c>
      <c r="G1345">
        <v>10</v>
      </c>
      <c r="H1345" s="58">
        <v>-27.6861</v>
      </c>
      <c r="I1345" s="57">
        <v>24.413799999999998</v>
      </c>
      <c r="J1345" s="58" t="s">
        <v>1</v>
      </c>
      <c r="K1345">
        <v>4.0999999999999996</v>
      </c>
      <c r="L1345" s="26"/>
      <c r="M1345" s="58">
        <v>45</v>
      </c>
      <c r="N1345" s="59" t="s">
        <v>6</v>
      </c>
      <c r="O1345" s="61" t="s">
        <v>1150</v>
      </c>
    </row>
    <row r="1346" spans="1:15" ht="45" x14ac:dyDescent="0.25">
      <c r="A1346">
        <v>9691</v>
      </c>
      <c r="B1346">
        <v>15</v>
      </c>
      <c r="C1346" s="56" t="s">
        <v>476</v>
      </c>
      <c r="D1346">
        <v>2018</v>
      </c>
      <c r="E1346">
        <v>52</v>
      </c>
      <c r="F1346" s="57">
        <v>35.58</v>
      </c>
      <c r="G1346">
        <v>13</v>
      </c>
      <c r="H1346" s="58">
        <v>26.503</v>
      </c>
      <c r="I1346" s="57">
        <v>-10.1599</v>
      </c>
      <c r="J1346" s="58" t="s">
        <v>1</v>
      </c>
      <c r="K1346">
        <v>3.7</v>
      </c>
      <c r="L1346" s="26">
        <v>3.4</v>
      </c>
      <c r="M1346" s="58">
        <v>35</v>
      </c>
      <c r="N1346" s="59" t="s">
        <v>15</v>
      </c>
      <c r="O1346" s="61" t="s">
        <v>1151</v>
      </c>
    </row>
    <row r="1347" spans="1:15" ht="90" x14ac:dyDescent="0.25">
      <c r="A1347">
        <v>9692</v>
      </c>
      <c r="B1347">
        <v>16</v>
      </c>
      <c r="C1347" s="56" t="s">
        <v>476</v>
      </c>
      <c r="D1347">
        <v>2018</v>
      </c>
      <c r="E1347">
        <v>25</v>
      </c>
      <c r="F1347" s="57">
        <v>20.79</v>
      </c>
      <c r="G1347">
        <v>2</v>
      </c>
      <c r="H1347" s="58">
        <v>4.66</v>
      </c>
      <c r="I1347" s="57">
        <v>-15.610300000000001</v>
      </c>
      <c r="J1347" s="58" t="s">
        <v>1</v>
      </c>
      <c r="K1347">
        <v>3.7</v>
      </c>
      <c r="L1347" s="26"/>
      <c r="M1347" s="58">
        <v>144</v>
      </c>
      <c r="N1347" s="59" t="s">
        <v>154</v>
      </c>
      <c r="O1347" s="61" t="s">
        <v>917</v>
      </c>
    </row>
    <row r="1348" spans="1:15" ht="45" x14ac:dyDescent="0.25">
      <c r="A1348">
        <v>9693</v>
      </c>
      <c r="B1348">
        <v>16</v>
      </c>
      <c r="C1348" s="56" t="s">
        <v>476</v>
      </c>
      <c r="D1348">
        <v>2018</v>
      </c>
      <c r="E1348">
        <v>14</v>
      </c>
      <c r="F1348" s="57">
        <v>53.57</v>
      </c>
      <c r="G1348">
        <v>20</v>
      </c>
      <c r="H1348" s="58">
        <v>7.4839000000000002</v>
      </c>
      <c r="I1348" s="57">
        <v>26.025500000000001</v>
      </c>
      <c r="J1348" s="58" t="s">
        <v>1</v>
      </c>
      <c r="K1348">
        <v>4.0999999999999996</v>
      </c>
      <c r="L1348" s="26"/>
      <c r="M1348" s="58">
        <v>176</v>
      </c>
      <c r="N1348" s="59" t="s">
        <v>117</v>
      </c>
      <c r="O1348" s="61" t="s">
        <v>1152</v>
      </c>
    </row>
    <row r="1349" spans="1:15" ht="45" x14ac:dyDescent="0.25">
      <c r="A1349">
        <v>9694</v>
      </c>
      <c r="B1349">
        <v>16</v>
      </c>
      <c r="C1349" s="56" t="s">
        <v>476</v>
      </c>
      <c r="D1349">
        <v>2018</v>
      </c>
      <c r="E1349">
        <v>40</v>
      </c>
      <c r="F1349" s="57">
        <v>35.68</v>
      </c>
      <c r="G1349">
        <v>22</v>
      </c>
      <c r="H1349" s="58">
        <v>34.204700000000003</v>
      </c>
      <c r="I1349" s="57">
        <v>3.1278999999999999</v>
      </c>
      <c r="J1349" s="58" t="s">
        <v>1</v>
      </c>
      <c r="K1349">
        <v>3.7</v>
      </c>
      <c r="L1349" s="26">
        <v>2.4</v>
      </c>
      <c r="M1349" s="58">
        <v>109</v>
      </c>
      <c r="N1349" s="59" t="s">
        <v>10</v>
      </c>
      <c r="O1349" s="61" t="s">
        <v>1153</v>
      </c>
    </row>
    <row r="1350" spans="1:15" ht="45" x14ac:dyDescent="0.25">
      <c r="A1350">
        <v>9695</v>
      </c>
      <c r="B1350">
        <v>17</v>
      </c>
      <c r="C1350" s="56" t="s">
        <v>476</v>
      </c>
      <c r="D1350">
        <v>2018</v>
      </c>
      <c r="E1350">
        <v>11</v>
      </c>
      <c r="F1350" s="57">
        <v>14.32</v>
      </c>
      <c r="G1350">
        <v>1</v>
      </c>
      <c r="H1350" s="58">
        <v>27.906700000000001</v>
      </c>
      <c r="I1350" s="57">
        <v>-2.0796999999999999</v>
      </c>
      <c r="J1350" s="58" t="s">
        <v>1</v>
      </c>
      <c r="K1350">
        <v>3.4</v>
      </c>
      <c r="L1350" s="26">
        <v>2.9</v>
      </c>
      <c r="M1350" s="58">
        <v>79</v>
      </c>
      <c r="N1350" s="59" t="s">
        <v>110</v>
      </c>
      <c r="O1350" s="61" t="s">
        <v>1154</v>
      </c>
    </row>
    <row r="1351" spans="1:15" ht="60" x14ac:dyDescent="0.25">
      <c r="A1351">
        <v>9696</v>
      </c>
      <c r="B1351">
        <v>17</v>
      </c>
      <c r="C1351" s="56" t="s">
        <v>476</v>
      </c>
      <c r="D1351">
        <v>2018</v>
      </c>
      <c r="E1351">
        <v>29</v>
      </c>
      <c r="F1351" s="57">
        <v>26.43</v>
      </c>
      <c r="G1351">
        <v>4</v>
      </c>
      <c r="H1351" s="58">
        <v>-18.841799999999999</v>
      </c>
      <c r="I1351" s="57">
        <v>43.947099999999999</v>
      </c>
      <c r="J1351" s="58" t="s">
        <v>1</v>
      </c>
      <c r="K1351">
        <v>4</v>
      </c>
      <c r="L1351" s="26">
        <v>3.3</v>
      </c>
      <c r="M1351" s="58">
        <v>170</v>
      </c>
      <c r="N1351" s="59" t="s">
        <v>177</v>
      </c>
      <c r="O1351" s="61" t="s">
        <v>895</v>
      </c>
    </row>
    <row r="1352" spans="1:15" ht="60" x14ac:dyDescent="0.25">
      <c r="A1352">
        <v>9697</v>
      </c>
      <c r="B1352" s="71">
        <v>17</v>
      </c>
      <c r="C1352" s="56" t="s">
        <v>476</v>
      </c>
      <c r="D1352">
        <v>2018</v>
      </c>
      <c r="E1352" s="71">
        <v>28</v>
      </c>
      <c r="F1352" s="72">
        <v>34.81</v>
      </c>
      <c r="G1352" s="71">
        <v>9</v>
      </c>
      <c r="H1352" s="73">
        <v>10.929600000000001</v>
      </c>
      <c r="I1352" s="72">
        <v>-1.92</v>
      </c>
      <c r="J1352" s="73" t="s">
        <v>1</v>
      </c>
      <c r="K1352" s="71">
        <v>4.0999999999999996</v>
      </c>
      <c r="L1352" s="73">
        <v>3.2</v>
      </c>
      <c r="M1352" s="73">
        <v>134</v>
      </c>
      <c r="N1352" s="74" t="s">
        <v>15</v>
      </c>
      <c r="O1352" s="75" t="s">
        <v>1155</v>
      </c>
    </row>
    <row r="1353" spans="1:15" ht="30" x14ac:dyDescent="0.25">
      <c r="A1353">
        <v>9698</v>
      </c>
      <c r="B1353">
        <v>17</v>
      </c>
      <c r="C1353" s="56" t="s">
        <v>476</v>
      </c>
      <c r="D1353">
        <v>2018</v>
      </c>
      <c r="E1353">
        <v>19</v>
      </c>
      <c r="F1353" s="57">
        <v>1.68</v>
      </c>
      <c r="G1353">
        <v>10</v>
      </c>
      <c r="H1353" s="58">
        <v>25.138400000000001</v>
      </c>
      <c r="I1353" s="57">
        <v>13.6523</v>
      </c>
      <c r="J1353" s="58" t="s">
        <v>1</v>
      </c>
      <c r="K1353">
        <v>4</v>
      </c>
      <c r="L1353" s="26"/>
      <c r="M1353" s="58">
        <v>117</v>
      </c>
      <c r="N1353" s="59" t="s">
        <v>48</v>
      </c>
      <c r="O1353" s="61" t="s">
        <v>1156</v>
      </c>
    </row>
    <row r="1354" spans="1:15" ht="45" x14ac:dyDescent="0.25">
      <c r="A1354">
        <v>9699</v>
      </c>
      <c r="B1354">
        <v>17</v>
      </c>
      <c r="C1354" s="56" t="s">
        <v>476</v>
      </c>
      <c r="D1354">
        <v>2018</v>
      </c>
      <c r="E1354">
        <v>0</v>
      </c>
      <c r="F1354" s="57">
        <v>39.130000000000003</v>
      </c>
      <c r="G1354">
        <v>13</v>
      </c>
      <c r="H1354" s="58">
        <v>22.867699999999999</v>
      </c>
      <c r="I1354" s="57">
        <v>-12.0189</v>
      </c>
      <c r="J1354" s="58" t="s">
        <v>1</v>
      </c>
      <c r="K1354">
        <v>3.7</v>
      </c>
      <c r="L1354" s="26">
        <v>3.7</v>
      </c>
      <c r="M1354" s="58">
        <v>74</v>
      </c>
      <c r="N1354" s="59" t="s">
        <v>15</v>
      </c>
      <c r="O1354" s="61" t="s">
        <v>1157</v>
      </c>
    </row>
    <row r="1355" spans="1:15" ht="30" x14ac:dyDescent="0.25">
      <c r="A1355">
        <v>9700</v>
      </c>
      <c r="B1355">
        <v>17</v>
      </c>
      <c r="C1355" s="56" t="s">
        <v>476</v>
      </c>
      <c r="D1355">
        <v>2018</v>
      </c>
      <c r="E1355">
        <v>16</v>
      </c>
      <c r="F1355" s="57">
        <v>37.119999999999997</v>
      </c>
      <c r="G1355">
        <v>23</v>
      </c>
      <c r="H1355" s="58">
        <v>-1.4429000000000001</v>
      </c>
      <c r="I1355" s="57">
        <v>16.6952</v>
      </c>
      <c r="J1355" s="58" t="s">
        <v>1</v>
      </c>
      <c r="K1355">
        <v>3.9</v>
      </c>
      <c r="L1355" s="26"/>
      <c r="M1355" s="58">
        <v>33</v>
      </c>
      <c r="N1355" s="59" t="s">
        <v>289</v>
      </c>
      <c r="O1355" s="61" t="s">
        <v>1158</v>
      </c>
    </row>
    <row r="1356" spans="1:15" ht="30" x14ac:dyDescent="0.25">
      <c r="A1356">
        <v>9701</v>
      </c>
      <c r="B1356">
        <v>17</v>
      </c>
      <c r="C1356" s="56" t="s">
        <v>476</v>
      </c>
      <c r="D1356">
        <v>2018</v>
      </c>
      <c r="E1356">
        <v>22</v>
      </c>
      <c r="F1356" s="57">
        <v>22.18</v>
      </c>
      <c r="G1356">
        <v>23</v>
      </c>
      <c r="H1356" s="58">
        <v>20.599299999999999</v>
      </c>
      <c r="I1356" s="57">
        <v>12.4864</v>
      </c>
      <c r="J1356" s="58" t="s">
        <v>1</v>
      </c>
      <c r="K1356">
        <v>4</v>
      </c>
      <c r="L1356" s="26">
        <v>3.2</v>
      </c>
      <c r="M1356" s="58">
        <v>130</v>
      </c>
      <c r="N1356" s="59" t="s">
        <v>139</v>
      </c>
      <c r="O1356" s="61" t="s">
        <v>1159</v>
      </c>
    </row>
    <row r="1357" spans="1:15" ht="60" x14ac:dyDescent="0.25">
      <c r="A1357">
        <v>9702</v>
      </c>
      <c r="B1357">
        <v>18</v>
      </c>
      <c r="C1357" s="56" t="s">
        <v>476</v>
      </c>
      <c r="D1357">
        <v>2018</v>
      </c>
      <c r="E1357">
        <v>35</v>
      </c>
      <c r="F1357" s="57">
        <v>21.84</v>
      </c>
      <c r="G1357">
        <v>15</v>
      </c>
      <c r="H1357" s="58">
        <v>-29.2819</v>
      </c>
      <c r="I1357" s="57">
        <v>25.2575</v>
      </c>
      <c r="J1357" s="58" t="s">
        <v>1</v>
      </c>
      <c r="K1357">
        <v>4.0999999999999996</v>
      </c>
      <c r="L1357" s="26"/>
      <c r="M1357" s="58">
        <v>93</v>
      </c>
      <c r="N1357" s="59" t="s">
        <v>6</v>
      </c>
      <c r="O1357" s="61" t="s">
        <v>1160</v>
      </c>
    </row>
    <row r="1358" spans="1:15" ht="45" x14ac:dyDescent="0.25">
      <c r="A1358">
        <v>9703</v>
      </c>
      <c r="B1358">
        <v>18</v>
      </c>
      <c r="C1358" s="56" t="s">
        <v>476</v>
      </c>
      <c r="D1358">
        <v>2018</v>
      </c>
      <c r="E1358">
        <v>9</v>
      </c>
      <c r="F1358" s="57">
        <v>53.46</v>
      </c>
      <c r="G1358">
        <v>18</v>
      </c>
      <c r="H1358" s="58">
        <v>14.322699999999999</v>
      </c>
      <c r="I1358" s="57">
        <v>2.3058999999999998</v>
      </c>
      <c r="J1358" s="58" t="s">
        <v>1</v>
      </c>
      <c r="K1358">
        <v>4.0999999999999996</v>
      </c>
      <c r="L1358" s="26"/>
      <c r="M1358" s="58">
        <v>112</v>
      </c>
      <c r="N1358" s="59" t="s">
        <v>15</v>
      </c>
      <c r="O1358" s="61" t="s">
        <v>392</v>
      </c>
    </row>
    <row r="1359" spans="1:15" ht="30" x14ac:dyDescent="0.25">
      <c r="A1359">
        <v>9704</v>
      </c>
      <c r="B1359">
        <v>18</v>
      </c>
      <c r="C1359" s="56" t="s">
        <v>476</v>
      </c>
      <c r="D1359">
        <v>2018</v>
      </c>
      <c r="E1359">
        <v>31</v>
      </c>
      <c r="F1359" s="57">
        <v>51.84</v>
      </c>
      <c r="G1359">
        <v>19</v>
      </c>
      <c r="H1359" s="58">
        <v>-15.018000000000001</v>
      </c>
      <c r="I1359" s="57">
        <v>20.6159</v>
      </c>
      <c r="J1359" s="58" t="s">
        <v>1</v>
      </c>
      <c r="K1359">
        <v>3.8</v>
      </c>
      <c r="L1359" s="26">
        <v>2.9</v>
      </c>
      <c r="M1359" s="58">
        <v>89</v>
      </c>
      <c r="N1359" s="59" t="s">
        <v>63</v>
      </c>
      <c r="O1359" s="61" t="s">
        <v>1161</v>
      </c>
    </row>
    <row r="1360" spans="1:15" ht="60" x14ac:dyDescent="0.25">
      <c r="A1360">
        <v>9705</v>
      </c>
      <c r="B1360">
        <v>19</v>
      </c>
      <c r="C1360" s="56" t="s">
        <v>476</v>
      </c>
      <c r="D1360">
        <v>2018</v>
      </c>
      <c r="E1360">
        <v>9</v>
      </c>
      <c r="F1360" s="57">
        <v>18.02</v>
      </c>
      <c r="G1360">
        <v>9</v>
      </c>
      <c r="H1360" s="58">
        <v>-25.863600000000002</v>
      </c>
      <c r="I1360" s="57">
        <v>29.6357</v>
      </c>
      <c r="J1360" s="58" t="s">
        <v>1</v>
      </c>
      <c r="K1360">
        <v>4.2</v>
      </c>
      <c r="L1360" s="26">
        <v>3.4</v>
      </c>
      <c r="M1360" s="58">
        <v>136</v>
      </c>
      <c r="N1360" s="59" t="s">
        <v>6</v>
      </c>
      <c r="O1360" s="61" t="s">
        <v>1162</v>
      </c>
    </row>
    <row r="1361" spans="1:15" ht="45" x14ac:dyDescent="0.25">
      <c r="A1361">
        <v>9706</v>
      </c>
      <c r="B1361">
        <v>19</v>
      </c>
      <c r="C1361" s="56" t="s">
        <v>476</v>
      </c>
      <c r="D1361">
        <v>2018</v>
      </c>
      <c r="E1361">
        <v>58</v>
      </c>
      <c r="F1361" s="57">
        <v>44.28</v>
      </c>
      <c r="G1361">
        <v>17</v>
      </c>
      <c r="H1361" s="58">
        <v>35.155099999999997</v>
      </c>
      <c r="I1361" s="57">
        <v>4.4175000000000004</v>
      </c>
      <c r="J1361" s="58" t="s">
        <v>1</v>
      </c>
      <c r="K1361">
        <v>3.9</v>
      </c>
      <c r="L1361" s="26"/>
      <c r="M1361" s="58">
        <v>3</v>
      </c>
      <c r="N1361" s="59" t="s">
        <v>10</v>
      </c>
      <c r="O1361" s="61" t="s">
        <v>1163</v>
      </c>
    </row>
    <row r="1362" spans="1:15" ht="45" x14ac:dyDescent="0.25">
      <c r="A1362">
        <v>9707</v>
      </c>
      <c r="B1362">
        <v>19</v>
      </c>
      <c r="C1362" s="56" t="s">
        <v>476</v>
      </c>
      <c r="D1362">
        <v>2018</v>
      </c>
      <c r="E1362">
        <v>27</v>
      </c>
      <c r="F1362" s="57">
        <v>27.48</v>
      </c>
      <c r="G1362">
        <v>20</v>
      </c>
      <c r="H1362" s="58">
        <v>17.716699999999999</v>
      </c>
      <c r="I1362" s="57">
        <v>10.7562</v>
      </c>
      <c r="J1362" s="58" t="s">
        <v>1</v>
      </c>
      <c r="K1362">
        <v>4.0999999999999996</v>
      </c>
      <c r="L1362" s="26"/>
      <c r="M1362" s="58">
        <v>34</v>
      </c>
      <c r="N1362" s="59" t="s">
        <v>15</v>
      </c>
      <c r="O1362" s="61" t="s">
        <v>1164</v>
      </c>
    </row>
    <row r="1363" spans="1:15" ht="90" x14ac:dyDescent="0.25">
      <c r="A1363">
        <v>9708</v>
      </c>
      <c r="B1363">
        <v>20</v>
      </c>
      <c r="C1363" s="56" t="s">
        <v>476</v>
      </c>
      <c r="D1363">
        <v>2018</v>
      </c>
      <c r="E1363">
        <v>58</v>
      </c>
      <c r="F1363" s="57">
        <v>1.72</v>
      </c>
      <c r="G1363">
        <v>16</v>
      </c>
      <c r="H1363" s="58">
        <v>-3.3174000000000001</v>
      </c>
      <c r="I1363" s="57">
        <v>28.5061</v>
      </c>
      <c r="J1363" s="58" t="s">
        <v>1</v>
      </c>
      <c r="K1363">
        <v>4</v>
      </c>
      <c r="L1363" s="26"/>
      <c r="M1363" s="58">
        <v>99</v>
      </c>
      <c r="N1363" s="59" t="s">
        <v>1115</v>
      </c>
      <c r="O1363" s="61" t="s">
        <v>1165</v>
      </c>
    </row>
    <row r="1364" spans="1:15" ht="90" x14ac:dyDescent="0.25">
      <c r="A1364">
        <v>9709</v>
      </c>
      <c r="B1364" s="71">
        <v>20</v>
      </c>
      <c r="C1364" s="56" t="s">
        <v>476</v>
      </c>
      <c r="D1364">
        <v>2018</v>
      </c>
      <c r="E1364" s="71">
        <v>10</v>
      </c>
      <c r="F1364" s="72">
        <v>14.37</v>
      </c>
      <c r="G1364" s="71">
        <v>19</v>
      </c>
      <c r="H1364" s="73">
        <v>10.0588</v>
      </c>
      <c r="I1364" s="72">
        <v>-1.6956</v>
      </c>
      <c r="J1364" s="73" t="s">
        <v>1</v>
      </c>
      <c r="K1364" s="71">
        <v>4.0999999999999996</v>
      </c>
      <c r="L1364" s="73"/>
      <c r="M1364" s="73">
        <v>133</v>
      </c>
      <c r="N1364" s="74" t="s">
        <v>15</v>
      </c>
      <c r="O1364" s="75" t="s">
        <v>1166</v>
      </c>
    </row>
    <row r="1365" spans="1:15" ht="75" x14ac:dyDescent="0.25">
      <c r="A1365">
        <v>9710</v>
      </c>
      <c r="B1365">
        <v>21</v>
      </c>
      <c r="C1365" s="56" t="s">
        <v>476</v>
      </c>
      <c r="D1365">
        <v>2018</v>
      </c>
      <c r="E1365">
        <v>34</v>
      </c>
      <c r="F1365" s="57">
        <v>57.67</v>
      </c>
      <c r="G1365">
        <v>1</v>
      </c>
      <c r="H1365" s="58">
        <v>-26.509699999999999</v>
      </c>
      <c r="I1365" s="57">
        <v>27.701599999999999</v>
      </c>
      <c r="J1365" s="58" t="s">
        <v>1</v>
      </c>
      <c r="L1365" s="26">
        <v>2.6</v>
      </c>
      <c r="M1365" s="58">
        <v>132</v>
      </c>
      <c r="N1365" s="59" t="s">
        <v>6</v>
      </c>
      <c r="O1365" s="61" t="s">
        <v>1167</v>
      </c>
    </row>
    <row r="1366" spans="1:15" ht="45" x14ac:dyDescent="0.25">
      <c r="A1366">
        <v>9711</v>
      </c>
      <c r="B1366">
        <v>21</v>
      </c>
      <c r="C1366" s="56" t="s">
        <v>476</v>
      </c>
      <c r="D1366">
        <v>2018</v>
      </c>
      <c r="E1366">
        <v>53</v>
      </c>
      <c r="F1366" s="57">
        <v>7.35</v>
      </c>
      <c r="G1366">
        <v>1</v>
      </c>
      <c r="H1366" s="58">
        <v>14.4582</v>
      </c>
      <c r="I1366" s="57">
        <v>1.0517000000000001</v>
      </c>
      <c r="J1366" s="58" t="s">
        <v>1</v>
      </c>
      <c r="K1366">
        <v>3.8</v>
      </c>
      <c r="L1366" s="26"/>
      <c r="M1366" s="58">
        <v>64</v>
      </c>
      <c r="N1366" s="59" t="s">
        <v>15</v>
      </c>
      <c r="O1366" s="61" t="s">
        <v>1045</v>
      </c>
    </row>
    <row r="1367" spans="1:15" ht="75" x14ac:dyDescent="0.25">
      <c r="A1367">
        <v>9712</v>
      </c>
      <c r="B1367">
        <v>21</v>
      </c>
      <c r="C1367" s="56" t="s">
        <v>476</v>
      </c>
      <c r="D1367">
        <v>2018</v>
      </c>
      <c r="E1367">
        <v>12</v>
      </c>
      <c r="F1367" s="57">
        <v>16.23</v>
      </c>
      <c r="G1367">
        <v>7</v>
      </c>
      <c r="H1367" s="58">
        <v>-26.3096</v>
      </c>
      <c r="I1367" s="57">
        <v>27.867000000000001</v>
      </c>
      <c r="J1367" s="58" t="s">
        <v>1</v>
      </c>
      <c r="K1367">
        <v>4.0999999999999996</v>
      </c>
      <c r="L1367" s="26">
        <v>3.8</v>
      </c>
      <c r="M1367" s="58">
        <v>123</v>
      </c>
      <c r="N1367" s="59" t="s">
        <v>6</v>
      </c>
      <c r="O1367" s="61" t="s">
        <v>1168</v>
      </c>
    </row>
    <row r="1368" spans="1:15" ht="75" x14ac:dyDescent="0.25">
      <c r="A1368">
        <v>9713</v>
      </c>
      <c r="B1368">
        <v>21</v>
      </c>
      <c r="C1368" s="56" t="s">
        <v>476</v>
      </c>
      <c r="D1368">
        <v>2018</v>
      </c>
      <c r="E1368">
        <v>43</v>
      </c>
      <c r="F1368" s="57">
        <v>21.87</v>
      </c>
      <c r="G1368">
        <v>14</v>
      </c>
      <c r="H1368" s="58">
        <v>23.765899999999998</v>
      </c>
      <c r="I1368" s="57">
        <v>-1.4111</v>
      </c>
      <c r="J1368" s="58" t="s">
        <v>1</v>
      </c>
      <c r="L1368" s="26">
        <v>3.1</v>
      </c>
      <c r="M1368" s="58">
        <v>97</v>
      </c>
      <c r="N1368" s="59" t="s">
        <v>110</v>
      </c>
      <c r="O1368" s="61" t="s">
        <v>1169</v>
      </c>
    </row>
    <row r="1369" spans="1:15" ht="60" x14ac:dyDescent="0.25">
      <c r="A1369">
        <v>9714</v>
      </c>
      <c r="B1369">
        <v>22</v>
      </c>
      <c r="C1369" s="56" t="s">
        <v>476</v>
      </c>
      <c r="D1369">
        <v>2018</v>
      </c>
      <c r="E1369">
        <v>50</v>
      </c>
      <c r="F1369" s="57">
        <v>14.96</v>
      </c>
      <c r="G1369">
        <v>6</v>
      </c>
      <c r="H1369" s="58">
        <v>6.6677</v>
      </c>
      <c r="I1369" s="57">
        <v>-5.4447000000000001</v>
      </c>
      <c r="J1369" s="58" t="s">
        <v>1</v>
      </c>
      <c r="K1369">
        <v>4</v>
      </c>
      <c r="L1369" s="26"/>
      <c r="M1369" s="58">
        <v>83</v>
      </c>
      <c r="N1369" s="59" t="s">
        <v>15</v>
      </c>
      <c r="O1369" s="61" t="s">
        <v>1170</v>
      </c>
    </row>
    <row r="1370" spans="1:15" ht="60" x14ac:dyDescent="0.25">
      <c r="A1370">
        <v>9715</v>
      </c>
      <c r="B1370">
        <v>22</v>
      </c>
      <c r="C1370" s="56" t="s">
        <v>476</v>
      </c>
      <c r="D1370">
        <v>2018</v>
      </c>
      <c r="E1370">
        <v>23</v>
      </c>
      <c r="F1370" s="57">
        <v>24.85</v>
      </c>
      <c r="G1370">
        <v>18</v>
      </c>
      <c r="H1370" s="58">
        <v>4.9484000000000004</v>
      </c>
      <c r="I1370" s="57">
        <v>-5.8129999999999997</v>
      </c>
      <c r="J1370" s="58" t="s">
        <v>1</v>
      </c>
      <c r="K1370">
        <v>4.2</v>
      </c>
      <c r="L1370" s="26"/>
      <c r="M1370" s="58">
        <v>112</v>
      </c>
      <c r="N1370" s="59" t="s">
        <v>15</v>
      </c>
      <c r="O1370" s="61" t="s">
        <v>673</v>
      </c>
    </row>
    <row r="1371" spans="1:15" ht="45" x14ac:dyDescent="0.25">
      <c r="A1371">
        <v>9716</v>
      </c>
      <c r="B1371">
        <v>22</v>
      </c>
      <c r="C1371" s="56" t="s">
        <v>476</v>
      </c>
      <c r="D1371">
        <v>2018</v>
      </c>
      <c r="E1371">
        <v>47</v>
      </c>
      <c r="F1371" s="57">
        <v>9.66</v>
      </c>
      <c r="G1371">
        <v>19</v>
      </c>
      <c r="H1371" s="58">
        <v>35.731900000000003</v>
      </c>
      <c r="I1371" s="57">
        <v>0.53610000000000002</v>
      </c>
      <c r="J1371" s="58" t="s">
        <v>1</v>
      </c>
      <c r="K1371">
        <v>3.5</v>
      </c>
      <c r="L1371" s="26">
        <v>2.7</v>
      </c>
      <c r="M1371" s="58">
        <v>19</v>
      </c>
      <c r="N1371" s="59" t="s">
        <v>10</v>
      </c>
      <c r="O1371" s="61" t="s">
        <v>1171</v>
      </c>
    </row>
    <row r="1372" spans="1:15" ht="30" x14ac:dyDescent="0.25">
      <c r="A1372">
        <v>9717</v>
      </c>
      <c r="B1372">
        <v>22</v>
      </c>
      <c r="C1372" s="56" t="s">
        <v>476</v>
      </c>
      <c r="D1372">
        <v>2018</v>
      </c>
      <c r="E1372">
        <v>39</v>
      </c>
      <c r="F1372" s="57">
        <v>7.38</v>
      </c>
      <c r="G1372">
        <v>20</v>
      </c>
      <c r="H1372" s="58">
        <v>14.208</v>
      </c>
      <c r="I1372" s="57">
        <v>15.7936</v>
      </c>
      <c r="J1372" s="58" t="s">
        <v>1</v>
      </c>
      <c r="K1372">
        <v>4</v>
      </c>
      <c r="L1372" s="26"/>
      <c r="M1372" s="58">
        <v>95</v>
      </c>
      <c r="N1372" s="59" t="s">
        <v>139</v>
      </c>
      <c r="O1372" s="61" t="s">
        <v>1172</v>
      </c>
    </row>
    <row r="1373" spans="1:15" ht="30" x14ac:dyDescent="0.25">
      <c r="A1373">
        <v>9718</v>
      </c>
      <c r="B1373">
        <v>22</v>
      </c>
      <c r="C1373" s="56" t="s">
        <v>476</v>
      </c>
      <c r="D1373">
        <v>2018</v>
      </c>
      <c r="E1373">
        <v>45</v>
      </c>
      <c r="F1373" s="57">
        <v>2.4500000000000002</v>
      </c>
      <c r="G1373">
        <v>20</v>
      </c>
      <c r="H1373" s="58">
        <v>12.198399999999999</v>
      </c>
      <c r="I1373" s="57">
        <v>20.789300000000001</v>
      </c>
      <c r="J1373" s="58" t="s">
        <v>1</v>
      </c>
      <c r="K1373">
        <v>4</v>
      </c>
      <c r="L1373" s="26">
        <v>2.8</v>
      </c>
      <c r="M1373" s="58">
        <v>86</v>
      </c>
      <c r="N1373" s="59" t="s">
        <v>139</v>
      </c>
      <c r="O1373" s="61" t="s">
        <v>1173</v>
      </c>
    </row>
    <row r="1374" spans="1:15" ht="45" x14ac:dyDescent="0.25">
      <c r="A1374">
        <v>9719</v>
      </c>
      <c r="B1374">
        <v>22</v>
      </c>
      <c r="C1374" s="56" t="s">
        <v>476</v>
      </c>
      <c r="D1374">
        <v>2018</v>
      </c>
      <c r="E1374">
        <v>33</v>
      </c>
      <c r="F1374" s="57">
        <v>37.33</v>
      </c>
      <c r="G1374">
        <v>23</v>
      </c>
      <c r="H1374" s="58">
        <v>6.5833000000000004</v>
      </c>
      <c r="I1374" s="57">
        <v>-6.2373000000000003</v>
      </c>
      <c r="J1374" s="58" t="s">
        <v>1</v>
      </c>
      <c r="K1374">
        <v>4.0999999999999996</v>
      </c>
      <c r="L1374" s="26"/>
      <c r="M1374" s="58">
        <v>30</v>
      </c>
      <c r="N1374" s="59" t="s">
        <v>15</v>
      </c>
      <c r="O1374" s="61" t="s">
        <v>1174</v>
      </c>
    </row>
    <row r="1375" spans="1:15" ht="30" x14ac:dyDescent="0.25">
      <c r="A1375">
        <v>9720</v>
      </c>
      <c r="B1375">
        <v>23</v>
      </c>
      <c r="C1375" s="56" t="s">
        <v>476</v>
      </c>
      <c r="D1375">
        <v>2018</v>
      </c>
      <c r="E1375">
        <v>0</v>
      </c>
      <c r="F1375" s="57">
        <v>54.92</v>
      </c>
      <c r="G1375">
        <v>7</v>
      </c>
      <c r="H1375" s="58">
        <v>21.083400000000001</v>
      </c>
      <c r="I1375" s="57">
        <v>21.187899999999999</v>
      </c>
      <c r="J1375" s="58" t="s">
        <v>1</v>
      </c>
      <c r="K1375">
        <v>3.5</v>
      </c>
      <c r="L1375" s="26"/>
      <c r="M1375" s="58">
        <v>107</v>
      </c>
      <c r="N1375" s="59" t="s">
        <v>139</v>
      </c>
      <c r="O1375" s="61" t="s">
        <v>1175</v>
      </c>
    </row>
    <row r="1376" spans="1:15" ht="45" x14ac:dyDescent="0.25">
      <c r="A1376">
        <v>9721</v>
      </c>
      <c r="B1376">
        <v>23</v>
      </c>
      <c r="C1376" s="56" t="s">
        <v>476</v>
      </c>
      <c r="D1376">
        <v>2018</v>
      </c>
      <c r="E1376">
        <v>33</v>
      </c>
      <c r="F1376" s="57">
        <v>12.1</v>
      </c>
      <c r="G1376">
        <v>12</v>
      </c>
      <c r="H1376" s="58">
        <v>16.073599999999999</v>
      </c>
      <c r="I1376" s="57">
        <v>-0.58660000000000001</v>
      </c>
      <c r="J1376" s="58" t="s">
        <v>1</v>
      </c>
      <c r="K1376">
        <v>3.4</v>
      </c>
      <c r="L1376" s="26">
        <v>2.5</v>
      </c>
      <c r="M1376" s="58">
        <v>74</v>
      </c>
      <c r="N1376" s="59" t="s">
        <v>15</v>
      </c>
      <c r="O1376" s="61" t="s">
        <v>1176</v>
      </c>
    </row>
    <row r="1377" spans="1:15" ht="60" x14ac:dyDescent="0.25">
      <c r="A1377">
        <v>9722</v>
      </c>
      <c r="B1377">
        <v>23</v>
      </c>
      <c r="C1377" s="56" t="s">
        <v>476</v>
      </c>
      <c r="D1377">
        <v>2018</v>
      </c>
      <c r="E1377">
        <v>47</v>
      </c>
      <c r="F1377" s="57">
        <v>18.46</v>
      </c>
      <c r="G1377">
        <v>19</v>
      </c>
      <c r="H1377" s="58">
        <v>-26.1614</v>
      </c>
      <c r="I1377" s="57">
        <v>28.166</v>
      </c>
      <c r="J1377" s="58" t="s">
        <v>1</v>
      </c>
      <c r="K1377">
        <v>3.7</v>
      </c>
      <c r="L1377" s="26">
        <v>4</v>
      </c>
      <c r="M1377" s="58">
        <v>120</v>
      </c>
      <c r="N1377" s="59" t="s">
        <v>6</v>
      </c>
      <c r="O1377" s="61" t="s">
        <v>1177</v>
      </c>
    </row>
    <row r="1378" spans="1:15" ht="45" x14ac:dyDescent="0.25">
      <c r="A1378">
        <v>9723</v>
      </c>
      <c r="B1378">
        <v>24</v>
      </c>
      <c r="C1378" s="56" t="s">
        <v>476</v>
      </c>
      <c r="D1378">
        <v>2018</v>
      </c>
      <c r="E1378">
        <v>0</v>
      </c>
      <c r="F1378" s="57">
        <v>6.65</v>
      </c>
      <c r="G1378">
        <v>8</v>
      </c>
      <c r="H1378" s="58">
        <v>33.534599999999998</v>
      </c>
      <c r="I1378" s="57">
        <v>11.8592</v>
      </c>
      <c r="J1378" s="58" t="s">
        <v>1</v>
      </c>
      <c r="K1378">
        <v>3.9</v>
      </c>
      <c r="L1378" s="26">
        <v>3.5</v>
      </c>
      <c r="M1378" s="58">
        <v>2</v>
      </c>
      <c r="N1378" s="59" t="s">
        <v>2</v>
      </c>
      <c r="O1378" s="61" t="s">
        <v>904</v>
      </c>
    </row>
    <row r="1379" spans="1:15" ht="30" x14ac:dyDescent="0.25">
      <c r="A1379">
        <v>9724</v>
      </c>
      <c r="B1379">
        <v>24</v>
      </c>
      <c r="C1379" s="56" t="s">
        <v>476</v>
      </c>
      <c r="D1379">
        <v>2018</v>
      </c>
      <c r="E1379">
        <v>5</v>
      </c>
      <c r="F1379" s="57">
        <v>19.03</v>
      </c>
      <c r="G1379">
        <v>11</v>
      </c>
      <c r="H1379" s="58">
        <v>15.9788</v>
      </c>
      <c r="I1379" s="57">
        <v>32.576900000000002</v>
      </c>
      <c r="J1379" s="58" t="s">
        <v>1</v>
      </c>
      <c r="K1379">
        <v>4.5</v>
      </c>
      <c r="L1379" s="26">
        <v>3.8</v>
      </c>
      <c r="M1379" s="58">
        <v>130</v>
      </c>
      <c r="N1379" s="59" t="s">
        <v>117</v>
      </c>
      <c r="O1379" s="61" t="s">
        <v>1178</v>
      </c>
    </row>
    <row r="1380" spans="1:15" ht="45" x14ac:dyDescent="0.25">
      <c r="A1380">
        <v>9725</v>
      </c>
      <c r="B1380">
        <v>24</v>
      </c>
      <c r="C1380" s="56" t="s">
        <v>476</v>
      </c>
      <c r="D1380">
        <v>2018</v>
      </c>
      <c r="E1380">
        <v>28</v>
      </c>
      <c r="F1380" s="57">
        <v>18.739999999999998</v>
      </c>
      <c r="G1380">
        <v>19</v>
      </c>
      <c r="H1380" s="58">
        <v>5.4048999999999996</v>
      </c>
      <c r="I1380" s="57">
        <v>-4.3422999999999998</v>
      </c>
      <c r="J1380" s="58" t="s">
        <v>1</v>
      </c>
      <c r="K1380">
        <v>4</v>
      </c>
      <c r="L1380" s="26"/>
      <c r="M1380" s="58">
        <v>54</v>
      </c>
      <c r="N1380" s="59" t="s">
        <v>15</v>
      </c>
      <c r="O1380" s="61" t="s">
        <v>1179</v>
      </c>
    </row>
    <row r="1381" spans="1:15" ht="60" x14ac:dyDescent="0.25">
      <c r="A1381">
        <v>9726</v>
      </c>
      <c r="B1381">
        <v>25</v>
      </c>
      <c r="C1381" s="56" t="s">
        <v>476</v>
      </c>
      <c r="D1381">
        <v>2018</v>
      </c>
      <c r="E1381">
        <v>42</v>
      </c>
      <c r="F1381" s="57">
        <v>34.340000000000003</v>
      </c>
      <c r="G1381">
        <v>1</v>
      </c>
      <c r="H1381" s="58">
        <v>22.084099999999999</v>
      </c>
      <c r="I1381" s="57">
        <v>1.1644000000000001</v>
      </c>
      <c r="J1381" s="58" t="s">
        <v>1</v>
      </c>
      <c r="K1381">
        <v>4.2</v>
      </c>
      <c r="L1381" s="26">
        <v>1.9</v>
      </c>
      <c r="M1381" s="58">
        <v>97</v>
      </c>
      <c r="N1381" s="59" t="s">
        <v>110</v>
      </c>
      <c r="O1381" s="61" t="s">
        <v>1180</v>
      </c>
    </row>
    <row r="1382" spans="1:15" ht="60" x14ac:dyDescent="0.25">
      <c r="A1382">
        <v>9727</v>
      </c>
      <c r="B1382">
        <v>25</v>
      </c>
      <c r="C1382" s="56" t="s">
        <v>476</v>
      </c>
      <c r="D1382">
        <v>2018</v>
      </c>
      <c r="E1382">
        <v>50</v>
      </c>
      <c r="F1382" s="57">
        <v>13.67</v>
      </c>
      <c r="G1382">
        <v>1</v>
      </c>
      <c r="H1382" s="58">
        <v>29.085799999999999</v>
      </c>
      <c r="I1382" s="57">
        <v>12.7646</v>
      </c>
      <c r="J1382" s="58" t="s">
        <v>1</v>
      </c>
      <c r="K1382">
        <v>4.2</v>
      </c>
      <c r="L1382" s="26">
        <v>2.5</v>
      </c>
      <c r="M1382" s="58">
        <v>119</v>
      </c>
      <c r="N1382" s="59" t="s">
        <v>48</v>
      </c>
      <c r="O1382" s="61" t="s">
        <v>1181</v>
      </c>
    </row>
    <row r="1383" spans="1:15" ht="45" x14ac:dyDescent="0.25">
      <c r="A1383">
        <v>9728</v>
      </c>
      <c r="B1383">
        <v>25</v>
      </c>
      <c r="C1383" s="56" t="s">
        <v>476</v>
      </c>
      <c r="D1383">
        <v>2018</v>
      </c>
      <c r="E1383">
        <v>29</v>
      </c>
      <c r="F1383" s="57">
        <v>26.31</v>
      </c>
      <c r="G1383">
        <v>2</v>
      </c>
      <c r="H1383" s="58">
        <v>15.091900000000001</v>
      </c>
      <c r="I1383" s="57">
        <v>1.4751000000000001</v>
      </c>
      <c r="J1383" s="58" t="s">
        <v>1</v>
      </c>
      <c r="K1383">
        <v>4.2</v>
      </c>
      <c r="L1383" s="26"/>
      <c r="M1383" s="58">
        <v>93</v>
      </c>
      <c r="N1383" s="59" t="s">
        <v>15</v>
      </c>
      <c r="O1383" s="61" t="s">
        <v>1182</v>
      </c>
    </row>
    <row r="1384" spans="1:15" ht="45" x14ac:dyDescent="0.25">
      <c r="A1384">
        <v>9729</v>
      </c>
      <c r="B1384">
        <v>25</v>
      </c>
      <c r="C1384" s="56" t="s">
        <v>476</v>
      </c>
      <c r="D1384">
        <v>2018</v>
      </c>
      <c r="E1384">
        <v>57</v>
      </c>
      <c r="F1384" s="57">
        <v>3.4</v>
      </c>
      <c r="G1384">
        <v>10</v>
      </c>
      <c r="H1384" s="58">
        <v>17.233499999999999</v>
      </c>
      <c r="I1384" s="57">
        <v>23.604600000000001</v>
      </c>
      <c r="J1384" s="58" t="s">
        <v>1</v>
      </c>
      <c r="K1384">
        <v>4</v>
      </c>
      <c r="L1384" s="26"/>
      <c r="M1384" s="58">
        <v>147</v>
      </c>
      <c r="N1384" s="59" t="s">
        <v>139</v>
      </c>
      <c r="O1384" s="61" t="s">
        <v>1183</v>
      </c>
    </row>
    <row r="1385" spans="1:15" ht="75" x14ac:dyDescent="0.25">
      <c r="A1385">
        <v>9730</v>
      </c>
      <c r="B1385">
        <v>25</v>
      </c>
      <c r="C1385" s="56" t="s">
        <v>476</v>
      </c>
      <c r="D1385">
        <v>2018</v>
      </c>
      <c r="E1385">
        <v>46</v>
      </c>
      <c r="F1385" s="57">
        <v>10.86</v>
      </c>
      <c r="G1385">
        <v>16</v>
      </c>
      <c r="H1385" s="58">
        <v>-27.4</v>
      </c>
      <c r="I1385" s="57">
        <v>26.133400000000002</v>
      </c>
      <c r="J1385" s="58" t="s">
        <v>1</v>
      </c>
      <c r="K1385">
        <v>4.0999999999999996</v>
      </c>
      <c r="L1385" s="26"/>
      <c r="M1385" s="58">
        <v>121</v>
      </c>
      <c r="N1385" s="59" t="s">
        <v>6</v>
      </c>
      <c r="O1385" s="61" t="s">
        <v>1184</v>
      </c>
    </row>
    <row r="1386" spans="1:15" ht="75" x14ac:dyDescent="0.25">
      <c r="A1386">
        <v>9731</v>
      </c>
      <c r="B1386">
        <v>26</v>
      </c>
      <c r="C1386" s="56" t="s">
        <v>476</v>
      </c>
      <c r="D1386">
        <v>2018</v>
      </c>
      <c r="E1386">
        <v>63</v>
      </c>
      <c r="F1386" s="57">
        <v>9.7200000000000006</v>
      </c>
      <c r="G1386">
        <v>8</v>
      </c>
      <c r="H1386" s="58">
        <v>8.3000000000000004E-2</v>
      </c>
      <c r="I1386" s="57">
        <v>37.660200000000003</v>
      </c>
      <c r="J1386" s="58" t="s">
        <v>1</v>
      </c>
      <c r="K1386">
        <v>4.4000000000000004</v>
      </c>
      <c r="L1386" s="26"/>
      <c r="M1386" s="58">
        <v>105</v>
      </c>
      <c r="N1386" s="59" t="s">
        <v>13</v>
      </c>
      <c r="O1386" s="61" t="s">
        <v>1185</v>
      </c>
    </row>
    <row r="1387" spans="1:15" ht="60" x14ac:dyDescent="0.25">
      <c r="A1387">
        <v>9732</v>
      </c>
      <c r="B1387">
        <v>26</v>
      </c>
      <c r="C1387" s="56" t="s">
        <v>476</v>
      </c>
      <c r="D1387">
        <v>2018</v>
      </c>
      <c r="E1387">
        <v>31</v>
      </c>
      <c r="F1387" s="57">
        <v>31.72</v>
      </c>
      <c r="G1387">
        <v>13</v>
      </c>
      <c r="H1387" s="58">
        <v>18.3261</v>
      </c>
      <c r="I1387" s="57">
        <v>-17.083400000000001</v>
      </c>
      <c r="J1387" s="58" t="s">
        <v>1</v>
      </c>
      <c r="K1387">
        <v>4.2</v>
      </c>
      <c r="L1387" s="26"/>
      <c r="M1387" s="58">
        <v>127</v>
      </c>
      <c r="N1387" s="59" t="s">
        <v>15</v>
      </c>
      <c r="O1387" s="61" t="s">
        <v>922</v>
      </c>
    </row>
    <row r="1388" spans="1:15" ht="90" x14ac:dyDescent="0.25">
      <c r="A1388">
        <v>9733</v>
      </c>
      <c r="B1388">
        <v>27</v>
      </c>
      <c r="C1388" s="56" t="s">
        <v>476</v>
      </c>
      <c r="D1388">
        <v>2018</v>
      </c>
      <c r="E1388">
        <v>53</v>
      </c>
      <c r="F1388" s="57">
        <v>27.39</v>
      </c>
      <c r="G1388">
        <v>1</v>
      </c>
      <c r="H1388" s="58">
        <v>-24.466999999999999</v>
      </c>
      <c r="I1388" s="57">
        <v>46.479900000000001</v>
      </c>
      <c r="J1388" s="58" t="s">
        <v>1</v>
      </c>
      <c r="K1388">
        <v>4.2</v>
      </c>
      <c r="L1388" s="26"/>
      <c r="M1388" s="58">
        <v>132</v>
      </c>
      <c r="N1388" s="59" t="s">
        <v>177</v>
      </c>
      <c r="O1388" s="61" t="s">
        <v>1186</v>
      </c>
    </row>
    <row r="1389" spans="1:15" ht="60" x14ac:dyDescent="0.25">
      <c r="A1389">
        <v>9734</v>
      </c>
      <c r="B1389">
        <v>27</v>
      </c>
      <c r="C1389" s="56" t="s">
        <v>476</v>
      </c>
      <c r="D1389">
        <v>2018</v>
      </c>
      <c r="E1389">
        <v>34</v>
      </c>
      <c r="F1389" s="57">
        <v>36.81</v>
      </c>
      <c r="G1389">
        <v>8</v>
      </c>
      <c r="H1389" s="58">
        <v>7.3779000000000003</v>
      </c>
      <c r="I1389" s="57">
        <v>-7.3455000000000004</v>
      </c>
      <c r="J1389" s="58" t="s">
        <v>1</v>
      </c>
      <c r="K1389">
        <v>3.6</v>
      </c>
      <c r="L1389" s="26"/>
      <c r="M1389" s="58">
        <v>20</v>
      </c>
      <c r="N1389" s="59" t="s">
        <v>15</v>
      </c>
      <c r="O1389" s="61" t="s">
        <v>1187</v>
      </c>
    </row>
    <row r="1390" spans="1:15" ht="45" x14ac:dyDescent="0.25">
      <c r="A1390">
        <v>9735</v>
      </c>
      <c r="B1390">
        <v>27</v>
      </c>
      <c r="C1390" s="56" t="s">
        <v>476</v>
      </c>
      <c r="D1390">
        <v>2018</v>
      </c>
      <c r="E1390">
        <v>20</v>
      </c>
      <c r="F1390" s="57">
        <v>43.5</v>
      </c>
      <c r="G1390">
        <v>10</v>
      </c>
      <c r="H1390" s="58">
        <v>13.6066</v>
      </c>
      <c r="I1390" s="57">
        <v>1.5371999999999999</v>
      </c>
      <c r="J1390" s="58" t="s">
        <v>1</v>
      </c>
      <c r="K1390">
        <v>4.0999999999999996</v>
      </c>
      <c r="L1390" s="26"/>
      <c r="M1390" s="58">
        <v>83</v>
      </c>
      <c r="N1390" s="59" t="s">
        <v>15</v>
      </c>
      <c r="O1390" s="61" t="s">
        <v>1188</v>
      </c>
    </row>
    <row r="1391" spans="1:15" ht="60" x14ac:dyDescent="0.25">
      <c r="A1391">
        <v>9736</v>
      </c>
      <c r="B1391">
        <v>28</v>
      </c>
      <c r="C1391" s="56" t="s">
        <v>476</v>
      </c>
      <c r="D1391">
        <v>2018</v>
      </c>
      <c r="E1391">
        <v>16</v>
      </c>
      <c r="F1391" s="57">
        <v>45.58</v>
      </c>
      <c r="G1391">
        <v>10</v>
      </c>
      <c r="H1391" s="58">
        <v>-25.335899999999999</v>
      </c>
      <c r="I1391" s="57">
        <v>28.031700000000001</v>
      </c>
      <c r="J1391" s="58" t="s">
        <v>1</v>
      </c>
      <c r="K1391">
        <v>4</v>
      </c>
      <c r="L1391" s="26">
        <v>2.9</v>
      </c>
      <c r="M1391" s="58">
        <v>121</v>
      </c>
      <c r="N1391" s="59" t="s">
        <v>6</v>
      </c>
      <c r="O1391" s="61" t="s">
        <v>1189</v>
      </c>
    </row>
    <row r="1392" spans="1:15" ht="90" x14ac:dyDescent="0.25">
      <c r="A1392">
        <v>9737</v>
      </c>
      <c r="B1392">
        <v>28</v>
      </c>
      <c r="C1392" s="56" t="s">
        <v>476</v>
      </c>
      <c r="D1392">
        <v>2018</v>
      </c>
      <c r="E1392">
        <v>13</v>
      </c>
      <c r="F1392" s="57">
        <v>5.95</v>
      </c>
      <c r="G1392">
        <v>16</v>
      </c>
      <c r="H1392" s="58">
        <v>6.0666000000000002</v>
      </c>
      <c r="I1392" s="57">
        <v>19.634</v>
      </c>
      <c r="J1392" s="58" t="s">
        <v>1</v>
      </c>
      <c r="K1392">
        <v>4.5</v>
      </c>
      <c r="L1392" s="26"/>
      <c r="M1392" s="58">
        <v>176</v>
      </c>
      <c r="N1392" s="59" t="s">
        <v>1190</v>
      </c>
      <c r="O1392" s="61" t="s">
        <v>1191</v>
      </c>
    </row>
    <row r="1393" spans="1:15" ht="60" x14ac:dyDescent="0.25">
      <c r="A1393">
        <v>9738</v>
      </c>
      <c r="B1393">
        <v>28</v>
      </c>
      <c r="C1393" s="56" t="s">
        <v>476</v>
      </c>
      <c r="D1393">
        <v>2018</v>
      </c>
      <c r="E1393">
        <v>34</v>
      </c>
      <c r="F1393" s="57">
        <v>17.989999999999998</v>
      </c>
      <c r="G1393">
        <v>18</v>
      </c>
      <c r="H1393" s="58">
        <v>34.811399999999999</v>
      </c>
      <c r="I1393" s="57">
        <v>4.5175000000000001</v>
      </c>
      <c r="J1393" s="58" t="s">
        <v>1</v>
      </c>
      <c r="K1393">
        <v>4.3</v>
      </c>
      <c r="L1393" s="26"/>
      <c r="M1393" s="58">
        <v>149</v>
      </c>
      <c r="N1393" s="59" t="s">
        <v>10</v>
      </c>
      <c r="O1393" s="61" t="s">
        <v>1192</v>
      </c>
    </row>
    <row r="1394" spans="1:15" ht="75" x14ac:dyDescent="0.25">
      <c r="A1394">
        <v>9739</v>
      </c>
      <c r="B1394">
        <v>28</v>
      </c>
      <c r="C1394" s="56" t="s">
        <v>476</v>
      </c>
      <c r="D1394">
        <v>2018</v>
      </c>
      <c r="E1394">
        <v>45</v>
      </c>
      <c r="F1394" s="57">
        <v>30.07</v>
      </c>
      <c r="G1394">
        <v>18</v>
      </c>
      <c r="H1394" s="58">
        <v>-26.3123</v>
      </c>
      <c r="I1394" s="57">
        <v>33.735300000000002</v>
      </c>
      <c r="J1394" s="58" t="s">
        <v>1</v>
      </c>
      <c r="K1394">
        <v>4.0999999999999996</v>
      </c>
      <c r="L1394" s="26">
        <v>2.2999999999999998</v>
      </c>
      <c r="M1394" s="58">
        <v>87</v>
      </c>
      <c r="N1394" s="59" t="s">
        <v>24</v>
      </c>
      <c r="O1394" s="61" t="s">
        <v>1193</v>
      </c>
    </row>
    <row r="1395" spans="1:15" ht="120" x14ac:dyDescent="0.25">
      <c r="A1395">
        <v>9740</v>
      </c>
      <c r="B1395">
        <v>28</v>
      </c>
      <c r="C1395" s="56" t="s">
        <v>476</v>
      </c>
      <c r="D1395">
        <v>2018</v>
      </c>
      <c r="E1395">
        <v>24</v>
      </c>
      <c r="F1395" s="57">
        <v>35.51</v>
      </c>
      <c r="G1395">
        <v>22</v>
      </c>
      <c r="H1395" s="58">
        <v>15.862299999999999</v>
      </c>
      <c r="I1395" s="57">
        <v>1.4963</v>
      </c>
      <c r="J1395" s="58" t="s">
        <v>1</v>
      </c>
      <c r="K1395">
        <v>3.6</v>
      </c>
      <c r="L1395" s="26">
        <v>2.9</v>
      </c>
      <c r="M1395" s="58">
        <v>107</v>
      </c>
      <c r="N1395" s="59" t="s">
        <v>15</v>
      </c>
      <c r="O1395" s="61" t="s">
        <v>1141</v>
      </c>
    </row>
    <row r="1396" spans="1:15" ht="135" x14ac:dyDescent="0.25">
      <c r="A1396">
        <v>9741</v>
      </c>
      <c r="B1396">
        <v>29</v>
      </c>
      <c r="C1396" s="56" t="s">
        <v>476</v>
      </c>
      <c r="D1396">
        <v>2018</v>
      </c>
      <c r="E1396">
        <v>34</v>
      </c>
      <c r="F1396" s="57">
        <v>49.06</v>
      </c>
      <c r="G1396">
        <v>1</v>
      </c>
      <c r="H1396" s="58">
        <v>7.9743000000000004</v>
      </c>
      <c r="I1396" s="57">
        <v>21.875599999999999</v>
      </c>
      <c r="J1396" s="58" t="s">
        <v>1</v>
      </c>
      <c r="K1396">
        <v>4</v>
      </c>
      <c r="L1396" s="26">
        <v>3.2</v>
      </c>
      <c r="M1396" s="58">
        <v>38</v>
      </c>
      <c r="N1396" s="59" t="s">
        <v>1190</v>
      </c>
      <c r="O1396" s="61" t="s">
        <v>1194</v>
      </c>
    </row>
    <row r="1397" spans="1:15" ht="45" x14ac:dyDescent="0.25">
      <c r="A1397">
        <v>9742</v>
      </c>
      <c r="B1397">
        <v>29</v>
      </c>
      <c r="C1397" s="56" t="s">
        <v>476</v>
      </c>
      <c r="D1397">
        <v>2018</v>
      </c>
      <c r="E1397">
        <v>51</v>
      </c>
      <c r="F1397" s="57">
        <v>32.89</v>
      </c>
      <c r="G1397">
        <v>5</v>
      </c>
      <c r="H1397" s="58">
        <v>6.4953000000000003</v>
      </c>
      <c r="I1397" s="57">
        <v>-5.3464</v>
      </c>
      <c r="J1397" s="58" t="s">
        <v>1</v>
      </c>
      <c r="K1397">
        <v>3.9</v>
      </c>
      <c r="L1397" s="26"/>
      <c r="M1397" s="58">
        <v>70</v>
      </c>
      <c r="N1397" s="59" t="s">
        <v>15</v>
      </c>
      <c r="O1397" s="61" t="s">
        <v>1195</v>
      </c>
    </row>
    <row r="1398" spans="1:15" ht="90" x14ac:dyDescent="0.25">
      <c r="A1398">
        <v>9743</v>
      </c>
      <c r="B1398">
        <v>29</v>
      </c>
      <c r="C1398" s="56" t="s">
        <v>476</v>
      </c>
      <c r="D1398">
        <v>2018</v>
      </c>
      <c r="E1398">
        <v>30</v>
      </c>
      <c r="F1398" s="57">
        <v>26.99</v>
      </c>
      <c r="G1398">
        <v>14</v>
      </c>
      <c r="H1398" s="58">
        <v>-29.936699999999998</v>
      </c>
      <c r="I1398" s="57">
        <v>26.8535</v>
      </c>
      <c r="J1398" s="58" t="s">
        <v>1</v>
      </c>
      <c r="L1398" s="26"/>
      <c r="M1398" s="58">
        <v>41</v>
      </c>
      <c r="N1398" s="59" t="s">
        <v>6</v>
      </c>
      <c r="O1398" s="61" t="s">
        <v>1091</v>
      </c>
    </row>
    <row r="1399" spans="1:15" ht="45" x14ac:dyDescent="0.25">
      <c r="A1399">
        <v>9744</v>
      </c>
      <c r="B1399">
        <v>30</v>
      </c>
      <c r="C1399" s="56" t="s">
        <v>476</v>
      </c>
      <c r="D1399">
        <v>2018</v>
      </c>
      <c r="E1399">
        <v>0</v>
      </c>
      <c r="F1399" s="57">
        <v>43.44</v>
      </c>
      <c r="G1399">
        <v>12</v>
      </c>
      <c r="H1399" s="58">
        <v>29.645199999999999</v>
      </c>
      <c r="I1399" s="57">
        <v>-8.0510000000000002</v>
      </c>
      <c r="J1399" s="58" t="s">
        <v>1</v>
      </c>
      <c r="K1399">
        <v>4.3</v>
      </c>
      <c r="L1399" s="26">
        <v>3.7</v>
      </c>
      <c r="M1399" s="58">
        <v>97</v>
      </c>
      <c r="N1399" s="59" t="s">
        <v>28</v>
      </c>
      <c r="O1399" s="61" t="s">
        <v>1196</v>
      </c>
    </row>
    <row r="1400" spans="1:15" ht="75" x14ac:dyDescent="0.25">
      <c r="A1400">
        <v>9745</v>
      </c>
      <c r="B1400">
        <v>30</v>
      </c>
      <c r="C1400" s="56" t="s">
        <v>476</v>
      </c>
      <c r="D1400">
        <v>2018</v>
      </c>
      <c r="E1400">
        <v>43</v>
      </c>
      <c r="F1400" s="57">
        <v>14.48</v>
      </c>
      <c r="G1400">
        <v>15</v>
      </c>
      <c r="H1400" s="58">
        <v>-29.407</v>
      </c>
      <c r="I1400" s="57">
        <v>26.557500000000001</v>
      </c>
      <c r="J1400" s="58" t="s">
        <v>1</v>
      </c>
      <c r="K1400">
        <v>4.5</v>
      </c>
      <c r="L1400" s="26"/>
      <c r="M1400" s="58">
        <v>18</v>
      </c>
      <c r="N1400" s="59" t="s">
        <v>6</v>
      </c>
      <c r="O1400" s="61" t="s">
        <v>1197</v>
      </c>
    </row>
    <row r="1401" spans="1:15" ht="45" x14ac:dyDescent="0.25">
      <c r="A1401">
        <v>9746</v>
      </c>
      <c r="B1401">
        <v>30</v>
      </c>
      <c r="C1401" s="56" t="s">
        <v>476</v>
      </c>
      <c r="D1401">
        <v>2018</v>
      </c>
      <c r="E1401">
        <v>14</v>
      </c>
      <c r="F1401" s="57">
        <v>54.16</v>
      </c>
      <c r="G1401">
        <v>22</v>
      </c>
      <c r="H1401" s="58">
        <v>30.7484</v>
      </c>
      <c r="I1401" s="57">
        <v>-0.68120000000000003</v>
      </c>
      <c r="J1401" s="58" t="s">
        <v>1</v>
      </c>
      <c r="K1401">
        <v>3.3</v>
      </c>
      <c r="L1401" s="26">
        <v>3.7</v>
      </c>
      <c r="M1401" s="58">
        <v>81</v>
      </c>
      <c r="N1401" s="59" t="s">
        <v>10</v>
      </c>
      <c r="O1401" s="61" t="s">
        <v>1198</v>
      </c>
    </row>
    <row r="1402" spans="1:15" ht="45" x14ac:dyDescent="0.25">
      <c r="A1402">
        <v>9747</v>
      </c>
      <c r="B1402">
        <v>31</v>
      </c>
      <c r="C1402" s="56" t="s">
        <v>476</v>
      </c>
      <c r="D1402">
        <v>2018</v>
      </c>
      <c r="E1402">
        <v>23</v>
      </c>
      <c r="F1402" s="57">
        <v>36.909999999999997</v>
      </c>
      <c r="G1402">
        <v>4</v>
      </c>
      <c r="H1402" s="58">
        <v>8.3305000000000007</v>
      </c>
      <c r="I1402" s="57">
        <v>43.031199999999998</v>
      </c>
      <c r="J1402" s="58" t="s">
        <v>1</v>
      </c>
      <c r="K1402">
        <v>3.6</v>
      </c>
      <c r="L1402" s="26">
        <v>3.3</v>
      </c>
      <c r="M1402" s="58">
        <v>116</v>
      </c>
      <c r="N1402" s="59" t="s">
        <v>847</v>
      </c>
      <c r="O1402" s="61" t="s">
        <v>1199</v>
      </c>
    </row>
    <row r="1403" spans="1:15" ht="45" x14ac:dyDescent="0.25">
      <c r="A1403">
        <v>9748</v>
      </c>
      <c r="B1403">
        <v>31</v>
      </c>
      <c r="C1403" s="56" t="s">
        <v>476</v>
      </c>
      <c r="D1403">
        <v>2018</v>
      </c>
      <c r="E1403">
        <v>0</v>
      </c>
      <c r="F1403" s="57">
        <v>26.4</v>
      </c>
      <c r="G1403">
        <v>12</v>
      </c>
      <c r="H1403" s="58">
        <v>-1.2625999999999999</v>
      </c>
      <c r="I1403" s="57">
        <v>36.627800000000001</v>
      </c>
      <c r="J1403" s="58" t="s">
        <v>1</v>
      </c>
      <c r="K1403">
        <v>4</v>
      </c>
      <c r="L1403" s="26"/>
      <c r="M1403" s="58">
        <v>26</v>
      </c>
      <c r="N1403" s="59" t="s">
        <v>13</v>
      </c>
      <c r="O1403" s="61" t="s">
        <v>1200</v>
      </c>
    </row>
    <row r="1404" spans="1:15" ht="90" x14ac:dyDescent="0.25">
      <c r="A1404">
        <v>9749</v>
      </c>
      <c r="B1404">
        <v>31</v>
      </c>
      <c r="C1404" s="56" t="s">
        <v>476</v>
      </c>
      <c r="D1404">
        <v>2018</v>
      </c>
      <c r="E1404">
        <v>0</v>
      </c>
      <c r="F1404" s="57">
        <v>8.86</v>
      </c>
      <c r="G1404">
        <v>13</v>
      </c>
      <c r="H1404" s="58">
        <v>-25.6629</v>
      </c>
      <c r="I1404" s="57">
        <v>22.853200000000001</v>
      </c>
      <c r="J1404" s="58" t="s">
        <v>1</v>
      </c>
      <c r="K1404">
        <v>4.2</v>
      </c>
      <c r="L1404" s="26"/>
      <c r="M1404" s="58">
        <v>50</v>
      </c>
      <c r="N1404" s="59" t="s">
        <v>66</v>
      </c>
      <c r="O1404" s="61" t="s">
        <v>1201</v>
      </c>
    </row>
    <row r="1405" spans="1:15" ht="60" x14ac:dyDescent="0.25">
      <c r="A1405">
        <v>9750</v>
      </c>
      <c r="B1405">
        <v>31</v>
      </c>
      <c r="C1405" s="56" t="s">
        <v>476</v>
      </c>
      <c r="D1405">
        <v>2018</v>
      </c>
      <c r="E1405">
        <v>51</v>
      </c>
      <c r="F1405" s="57">
        <v>15.63</v>
      </c>
      <c r="G1405">
        <v>14</v>
      </c>
      <c r="H1405" s="58">
        <v>-27.625699999999998</v>
      </c>
      <c r="I1405" s="57">
        <v>24.434799999999999</v>
      </c>
      <c r="J1405" s="58" t="s">
        <v>1</v>
      </c>
      <c r="L1405" s="26"/>
      <c r="M1405" s="58">
        <v>54</v>
      </c>
      <c r="N1405" s="59" t="s">
        <v>6</v>
      </c>
      <c r="O1405" s="61" t="s">
        <v>297</v>
      </c>
    </row>
    <row r="1406" spans="1:15" ht="60" x14ac:dyDescent="0.25">
      <c r="A1406">
        <v>9751</v>
      </c>
      <c r="B1406">
        <v>31</v>
      </c>
      <c r="C1406" s="56" t="s">
        <v>476</v>
      </c>
      <c r="D1406">
        <v>2018</v>
      </c>
      <c r="E1406">
        <v>16</v>
      </c>
      <c r="F1406" s="57">
        <v>15.75</v>
      </c>
      <c r="G1406">
        <v>16</v>
      </c>
      <c r="H1406" s="58">
        <v>-27.024899999999999</v>
      </c>
      <c r="I1406" s="57">
        <v>28.118099999999998</v>
      </c>
      <c r="J1406" s="58" t="s">
        <v>1</v>
      </c>
      <c r="K1406">
        <v>4.5</v>
      </c>
      <c r="L1406" s="26"/>
      <c r="M1406" s="58">
        <v>141</v>
      </c>
      <c r="N1406" s="59" t="s">
        <v>6</v>
      </c>
      <c r="O1406" s="61" t="s">
        <v>1202</v>
      </c>
    </row>
    <row r="1407" spans="1:15" ht="45" x14ac:dyDescent="0.25">
      <c r="A1407">
        <v>9752</v>
      </c>
      <c r="B1407">
        <v>31</v>
      </c>
      <c r="C1407" s="56" t="s">
        <v>476</v>
      </c>
      <c r="D1407">
        <v>2018</v>
      </c>
      <c r="E1407">
        <v>40</v>
      </c>
      <c r="F1407" s="57">
        <v>26.37</v>
      </c>
      <c r="G1407">
        <v>18</v>
      </c>
      <c r="H1407" s="58">
        <v>34.854700000000001</v>
      </c>
      <c r="I1407" s="57">
        <v>10.713200000000001</v>
      </c>
      <c r="J1407" s="58" t="s">
        <v>1</v>
      </c>
      <c r="K1407">
        <v>4.0999999999999996</v>
      </c>
      <c r="L1407" s="26"/>
      <c r="M1407" s="58">
        <v>23</v>
      </c>
      <c r="N1407" s="59" t="s">
        <v>2</v>
      </c>
      <c r="O1407" s="61" t="s">
        <v>1203</v>
      </c>
    </row>
    <row r="1408" spans="1:15" ht="60" x14ac:dyDescent="0.25">
      <c r="A1408">
        <v>9753</v>
      </c>
      <c r="B1408">
        <v>2</v>
      </c>
      <c r="C1408" s="56" t="s">
        <v>535</v>
      </c>
      <c r="D1408">
        <v>2018</v>
      </c>
      <c r="E1408">
        <v>30</v>
      </c>
      <c r="F1408" s="57">
        <v>7.59</v>
      </c>
      <c r="G1408">
        <v>2</v>
      </c>
      <c r="H1408" s="58">
        <v>-29.384399999999999</v>
      </c>
      <c r="I1408" s="57">
        <v>21.997299999999999</v>
      </c>
      <c r="J1408" s="58" t="s">
        <v>1</v>
      </c>
      <c r="K1408">
        <v>4.3</v>
      </c>
      <c r="L1408" s="26">
        <v>2.2999999999999998</v>
      </c>
      <c r="M1408" s="58">
        <v>173</v>
      </c>
      <c r="N1408" s="59" t="s">
        <v>6</v>
      </c>
      <c r="O1408" s="61" t="s">
        <v>1204</v>
      </c>
    </row>
    <row r="1409" spans="1:15" ht="60" x14ac:dyDescent="0.25">
      <c r="A1409">
        <v>9754</v>
      </c>
      <c r="B1409">
        <v>2</v>
      </c>
      <c r="C1409" s="56" t="s">
        <v>535</v>
      </c>
      <c r="D1409">
        <v>2018</v>
      </c>
      <c r="E1409">
        <v>52</v>
      </c>
      <c r="F1409" s="57">
        <v>55.5</v>
      </c>
      <c r="G1409">
        <v>8</v>
      </c>
      <c r="H1409" s="58">
        <v>-28.165500000000002</v>
      </c>
      <c r="I1409" s="57">
        <v>29.2364</v>
      </c>
      <c r="J1409" s="58" t="s">
        <v>1</v>
      </c>
      <c r="K1409">
        <v>4.0999999999999996</v>
      </c>
      <c r="L1409" s="26">
        <v>2.7</v>
      </c>
      <c r="M1409" s="58">
        <v>157</v>
      </c>
      <c r="N1409" s="59" t="s">
        <v>6</v>
      </c>
      <c r="O1409" s="61" t="s">
        <v>1205</v>
      </c>
    </row>
    <row r="1410" spans="1:15" ht="45" x14ac:dyDescent="0.25">
      <c r="A1410">
        <v>9755</v>
      </c>
      <c r="B1410" s="8">
        <v>2</v>
      </c>
      <c r="C1410" s="56" t="s">
        <v>535</v>
      </c>
      <c r="D1410">
        <v>2018</v>
      </c>
      <c r="E1410" s="8">
        <v>2</v>
      </c>
      <c r="F1410" s="9">
        <v>57.13</v>
      </c>
      <c r="G1410" s="8">
        <v>19</v>
      </c>
      <c r="H1410" s="11">
        <v>6.8319000000000001</v>
      </c>
      <c r="I1410" s="9">
        <v>-3.9742000000000002</v>
      </c>
      <c r="J1410" s="11" t="s">
        <v>1</v>
      </c>
      <c r="K1410" s="8">
        <v>4</v>
      </c>
      <c r="L1410" s="11"/>
      <c r="M1410" s="11">
        <v>175</v>
      </c>
      <c r="N1410" s="12" t="s">
        <v>15</v>
      </c>
      <c r="O1410" s="13" t="s">
        <v>1206</v>
      </c>
    </row>
    <row r="1411" spans="1:15" ht="45" x14ac:dyDescent="0.25">
      <c r="A1411">
        <v>9756</v>
      </c>
      <c r="B1411">
        <v>2</v>
      </c>
      <c r="C1411" s="56" t="s">
        <v>535</v>
      </c>
      <c r="D1411">
        <v>2018</v>
      </c>
      <c r="E1411">
        <v>8</v>
      </c>
      <c r="F1411" s="57">
        <v>7.52</v>
      </c>
      <c r="G1411" s="76">
        <v>19</v>
      </c>
      <c r="H1411" s="58">
        <v>-1.0894999999999999</v>
      </c>
      <c r="I1411" s="57">
        <v>36.6663</v>
      </c>
      <c r="J1411" s="58" t="s">
        <v>1</v>
      </c>
      <c r="K1411">
        <v>4</v>
      </c>
      <c r="L1411" s="26"/>
      <c r="M1411" s="58">
        <v>6</v>
      </c>
      <c r="N1411" s="59" t="s">
        <v>13</v>
      </c>
      <c r="O1411" s="61" t="s">
        <v>1207</v>
      </c>
    </row>
    <row r="1412" spans="1:15" ht="45" x14ac:dyDescent="0.25">
      <c r="A1412">
        <v>9757</v>
      </c>
      <c r="B1412">
        <v>2</v>
      </c>
      <c r="C1412" s="56" t="s">
        <v>535</v>
      </c>
      <c r="D1412">
        <v>2018</v>
      </c>
      <c r="E1412">
        <v>8</v>
      </c>
      <c r="F1412" s="57">
        <v>44.19</v>
      </c>
      <c r="G1412">
        <v>22</v>
      </c>
      <c r="H1412" s="58">
        <v>34.460799999999999</v>
      </c>
      <c r="I1412" s="57">
        <v>8.9419000000000004</v>
      </c>
      <c r="J1412" s="58" t="s">
        <v>1</v>
      </c>
      <c r="K1412">
        <v>4</v>
      </c>
      <c r="L1412" s="26">
        <v>4.0999999999999996</v>
      </c>
      <c r="M1412" s="58">
        <v>109</v>
      </c>
      <c r="N1412" s="59" t="s">
        <v>2</v>
      </c>
      <c r="O1412" s="61" t="s">
        <v>1208</v>
      </c>
    </row>
    <row r="1413" spans="1:15" ht="75" x14ac:dyDescent="0.25">
      <c r="A1413">
        <v>9758</v>
      </c>
      <c r="B1413">
        <v>3</v>
      </c>
      <c r="C1413" s="56" t="s">
        <v>535</v>
      </c>
      <c r="D1413">
        <v>2018</v>
      </c>
      <c r="E1413">
        <v>32</v>
      </c>
      <c r="F1413" s="57">
        <v>52.98</v>
      </c>
      <c r="G1413">
        <v>0</v>
      </c>
      <c r="H1413" s="58">
        <v>-2.9508999999999999</v>
      </c>
      <c r="I1413" s="57">
        <v>22.782299999999999</v>
      </c>
      <c r="J1413" s="58" t="s">
        <v>1</v>
      </c>
      <c r="K1413">
        <v>4.2</v>
      </c>
      <c r="L1413" s="26">
        <v>3.5</v>
      </c>
      <c r="M1413" s="58">
        <v>121</v>
      </c>
      <c r="N1413" s="59" t="s">
        <v>8</v>
      </c>
      <c r="O1413" s="61" t="s">
        <v>1209</v>
      </c>
    </row>
    <row r="1414" spans="1:15" ht="75" x14ac:dyDescent="0.25">
      <c r="A1414">
        <v>9759</v>
      </c>
      <c r="B1414">
        <v>3</v>
      </c>
      <c r="C1414" s="56" t="s">
        <v>535</v>
      </c>
      <c r="D1414">
        <v>2018</v>
      </c>
      <c r="E1414">
        <v>32</v>
      </c>
      <c r="F1414" s="57">
        <v>23.06</v>
      </c>
      <c r="G1414">
        <v>2</v>
      </c>
      <c r="H1414" s="58">
        <v>-9.1875</v>
      </c>
      <c r="I1414" s="57">
        <v>25.8795</v>
      </c>
      <c r="J1414" s="58" t="s">
        <v>1</v>
      </c>
      <c r="K1414">
        <v>3.8</v>
      </c>
      <c r="L1414" s="26">
        <v>4.0999999999999996</v>
      </c>
      <c r="M1414" s="58">
        <v>97</v>
      </c>
      <c r="N1414" s="59" t="s">
        <v>8</v>
      </c>
      <c r="O1414" s="61" t="s">
        <v>1210</v>
      </c>
    </row>
    <row r="1415" spans="1:15" ht="30" x14ac:dyDescent="0.25">
      <c r="A1415">
        <v>9760</v>
      </c>
      <c r="B1415">
        <v>3</v>
      </c>
      <c r="C1415" s="56" t="s">
        <v>535</v>
      </c>
      <c r="D1415">
        <v>2018</v>
      </c>
      <c r="E1415">
        <v>45</v>
      </c>
      <c r="F1415" s="57">
        <v>22.63</v>
      </c>
      <c r="G1415">
        <v>5</v>
      </c>
      <c r="H1415" s="58">
        <v>-27.977</v>
      </c>
      <c r="I1415" s="57">
        <v>18.724699999999999</v>
      </c>
      <c r="J1415" s="58" t="s">
        <v>1</v>
      </c>
      <c r="K1415">
        <v>4.3</v>
      </c>
      <c r="L1415" s="26"/>
      <c r="M1415" s="58">
        <v>12</v>
      </c>
      <c r="N1415" s="59" t="s">
        <v>291</v>
      </c>
      <c r="O1415" s="61" t="s">
        <v>1211</v>
      </c>
    </row>
    <row r="1416" spans="1:15" ht="45" x14ac:dyDescent="0.25">
      <c r="A1416">
        <v>9761</v>
      </c>
      <c r="B1416" s="8">
        <v>3</v>
      </c>
      <c r="C1416" s="56" t="s">
        <v>535</v>
      </c>
      <c r="D1416">
        <v>2018</v>
      </c>
      <c r="E1416" s="8">
        <v>37</v>
      </c>
      <c r="F1416" s="9">
        <v>6.55</v>
      </c>
      <c r="G1416" s="8">
        <v>13</v>
      </c>
      <c r="H1416" s="11">
        <v>7.1342999999999996</v>
      </c>
      <c r="I1416" s="9">
        <v>-4.6997</v>
      </c>
      <c r="J1416" s="11" t="s">
        <v>1</v>
      </c>
      <c r="K1416" s="8">
        <v>3.7</v>
      </c>
      <c r="L1416" s="11"/>
      <c r="M1416" s="11">
        <v>10</v>
      </c>
      <c r="N1416" s="12" t="s">
        <v>15</v>
      </c>
      <c r="O1416" s="13" t="s">
        <v>1212</v>
      </c>
    </row>
    <row r="1417" spans="1:15" ht="60" x14ac:dyDescent="0.25">
      <c r="A1417">
        <v>9762</v>
      </c>
      <c r="B1417">
        <v>4</v>
      </c>
      <c r="C1417" s="56" t="s">
        <v>535</v>
      </c>
      <c r="D1417">
        <v>2018</v>
      </c>
      <c r="E1417">
        <v>15</v>
      </c>
      <c r="F1417" s="57">
        <v>31.71</v>
      </c>
      <c r="G1417">
        <v>9</v>
      </c>
      <c r="H1417" s="58">
        <v>30.548500000000001</v>
      </c>
      <c r="I1417" s="57">
        <v>19.490200000000002</v>
      </c>
      <c r="J1417" s="58" t="s">
        <v>1</v>
      </c>
      <c r="K1417">
        <v>3.6</v>
      </c>
      <c r="L1417" s="26">
        <v>3.8</v>
      </c>
      <c r="M1417" s="58">
        <v>117</v>
      </c>
      <c r="N1417" s="59" t="s">
        <v>135</v>
      </c>
      <c r="O1417" s="61" t="s">
        <v>1213</v>
      </c>
    </row>
    <row r="1418" spans="1:15" ht="60" x14ac:dyDescent="0.25">
      <c r="A1418">
        <v>9763</v>
      </c>
      <c r="B1418">
        <v>4</v>
      </c>
      <c r="C1418" s="56" t="s">
        <v>535</v>
      </c>
      <c r="D1418">
        <v>2018</v>
      </c>
      <c r="E1418">
        <v>9</v>
      </c>
      <c r="F1418" s="57">
        <v>1.41</v>
      </c>
      <c r="G1418">
        <v>12</v>
      </c>
      <c r="H1418" s="58">
        <v>-23.4344</v>
      </c>
      <c r="I1418" s="57">
        <v>37.994199999999999</v>
      </c>
      <c r="J1418" s="58" t="s">
        <v>1</v>
      </c>
      <c r="K1418">
        <v>3.7</v>
      </c>
      <c r="L1418" s="26"/>
      <c r="M1418" s="58">
        <v>178</v>
      </c>
      <c r="N1418" s="59" t="s">
        <v>75</v>
      </c>
      <c r="O1418" s="61"/>
    </row>
    <row r="1419" spans="1:15" ht="60" x14ac:dyDescent="0.25">
      <c r="A1419">
        <v>9764</v>
      </c>
      <c r="B1419" s="8">
        <v>4</v>
      </c>
      <c r="C1419" s="56" t="s">
        <v>535</v>
      </c>
      <c r="D1419">
        <v>2018</v>
      </c>
      <c r="E1419" s="8">
        <v>29</v>
      </c>
      <c r="F1419" s="9">
        <v>21.82</v>
      </c>
      <c r="G1419" s="8">
        <v>22</v>
      </c>
      <c r="H1419" s="11">
        <v>5.6780999999999997</v>
      </c>
      <c r="I1419" s="9">
        <v>-3.1985000000000001</v>
      </c>
      <c r="J1419" s="11" t="s">
        <v>1</v>
      </c>
      <c r="K1419" s="8">
        <v>3.9</v>
      </c>
      <c r="L1419" s="11"/>
      <c r="M1419" s="11">
        <v>24</v>
      </c>
      <c r="N1419" s="12" t="s">
        <v>15</v>
      </c>
      <c r="O1419" s="13" t="s">
        <v>1214</v>
      </c>
    </row>
    <row r="1420" spans="1:15" ht="75" x14ac:dyDescent="0.25">
      <c r="A1420">
        <v>9765</v>
      </c>
      <c r="B1420">
        <v>5</v>
      </c>
      <c r="C1420" s="56" t="s">
        <v>535</v>
      </c>
      <c r="D1420">
        <v>2018</v>
      </c>
      <c r="E1420">
        <v>37</v>
      </c>
      <c r="F1420" s="57">
        <v>48.83</v>
      </c>
      <c r="G1420">
        <v>16</v>
      </c>
      <c r="H1420" s="58">
        <v>-8.2857000000000003</v>
      </c>
      <c r="I1420" s="57">
        <v>26.5916</v>
      </c>
      <c r="J1420" s="58" t="s">
        <v>1</v>
      </c>
      <c r="K1420">
        <v>4.5999999999999996</v>
      </c>
      <c r="L1420" s="26"/>
      <c r="M1420" s="58">
        <v>103</v>
      </c>
      <c r="N1420" s="59" t="s">
        <v>8</v>
      </c>
      <c r="O1420" s="61" t="s">
        <v>1215</v>
      </c>
    </row>
    <row r="1421" spans="1:15" ht="45" x14ac:dyDescent="0.25">
      <c r="A1421">
        <v>9766</v>
      </c>
      <c r="B1421" s="8">
        <v>6</v>
      </c>
      <c r="C1421" s="56" t="s">
        <v>535</v>
      </c>
      <c r="D1421">
        <v>2018</v>
      </c>
      <c r="E1421" s="8">
        <v>47</v>
      </c>
      <c r="F1421" s="9">
        <v>5.53</v>
      </c>
      <c r="G1421" s="8">
        <v>5</v>
      </c>
      <c r="H1421" s="11">
        <v>5.3308999999999997</v>
      </c>
      <c r="I1421" s="9">
        <v>3.9558</v>
      </c>
      <c r="J1421" s="11" t="s">
        <v>1</v>
      </c>
      <c r="K1421" s="8">
        <v>4.2</v>
      </c>
      <c r="L1421" s="11">
        <v>2.6</v>
      </c>
      <c r="M1421" s="11">
        <v>140</v>
      </c>
      <c r="N1421" s="12" t="s">
        <v>15</v>
      </c>
      <c r="O1421" s="13" t="s">
        <v>940</v>
      </c>
    </row>
    <row r="1422" spans="1:15" ht="45" x14ac:dyDescent="0.25">
      <c r="A1422">
        <v>9767</v>
      </c>
      <c r="B1422">
        <v>6</v>
      </c>
      <c r="C1422" s="56" t="s">
        <v>535</v>
      </c>
      <c r="D1422">
        <v>2018</v>
      </c>
      <c r="E1422">
        <v>27</v>
      </c>
      <c r="F1422" s="57">
        <v>31.71</v>
      </c>
      <c r="G1422">
        <v>14</v>
      </c>
      <c r="H1422" s="58">
        <v>36.224299999999999</v>
      </c>
      <c r="I1422" s="57">
        <v>5.1896000000000004</v>
      </c>
      <c r="J1422" s="58"/>
      <c r="K1422">
        <v>3.5</v>
      </c>
      <c r="L1422" s="26">
        <v>3.7</v>
      </c>
      <c r="M1422" s="58">
        <v>118</v>
      </c>
      <c r="N1422" s="59" t="s">
        <v>1216</v>
      </c>
      <c r="O1422" s="61" t="s">
        <v>1217</v>
      </c>
    </row>
    <row r="1423" spans="1:15" ht="60" x14ac:dyDescent="0.25">
      <c r="A1423">
        <v>9768</v>
      </c>
      <c r="B1423" s="8">
        <v>6</v>
      </c>
      <c r="C1423" s="56" t="s">
        <v>535</v>
      </c>
      <c r="D1423">
        <v>2018</v>
      </c>
      <c r="E1423" s="8">
        <v>40</v>
      </c>
      <c r="F1423" s="9">
        <v>3.38</v>
      </c>
      <c r="G1423" s="8">
        <v>16</v>
      </c>
      <c r="H1423" s="11">
        <v>12.9665</v>
      </c>
      <c r="I1423" s="9">
        <v>0.95220000000000005</v>
      </c>
      <c r="J1423" s="11" t="s">
        <v>1</v>
      </c>
      <c r="K1423" s="8">
        <v>4.3</v>
      </c>
      <c r="L1423" s="11"/>
      <c r="M1423" s="11">
        <v>156</v>
      </c>
      <c r="N1423" s="12" t="s">
        <v>15</v>
      </c>
      <c r="O1423" s="13" t="s">
        <v>1218</v>
      </c>
    </row>
    <row r="1424" spans="1:15" ht="60" x14ac:dyDescent="0.25">
      <c r="A1424">
        <v>9769</v>
      </c>
      <c r="B1424" s="8">
        <v>6</v>
      </c>
      <c r="C1424" s="56" t="s">
        <v>535</v>
      </c>
      <c r="D1424">
        <v>2018</v>
      </c>
      <c r="E1424" s="8">
        <v>55</v>
      </c>
      <c r="F1424" s="9">
        <v>45.57</v>
      </c>
      <c r="G1424" s="8">
        <v>18</v>
      </c>
      <c r="H1424" s="11">
        <v>21.6479</v>
      </c>
      <c r="I1424" s="9">
        <v>-8.1371000000000002</v>
      </c>
      <c r="J1424" s="11" t="s">
        <v>1</v>
      </c>
      <c r="K1424" s="8">
        <v>4.0999999999999996</v>
      </c>
      <c r="L1424" s="11"/>
      <c r="M1424" s="11">
        <v>176</v>
      </c>
      <c r="N1424" s="12" t="s">
        <v>15</v>
      </c>
      <c r="O1424" s="13" t="s">
        <v>481</v>
      </c>
    </row>
    <row r="1425" spans="1:15" ht="60" x14ac:dyDescent="0.25">
      <c r="A1425">
        <v>9770</v>
      </c>
      <c r="B1425" s="76">
        <v>7</v>
      </c>
      <c r="C1425" s="56" t="s">
        <v>535</v>
      </c>
      <c r="D1425">
        <v>2018</v>
      </c>
      <c r="E1425" s="76">
        <v>23</v>
      </c>
      <c r="F1425" s="77">
        <v>44.1</v>
      </c>
      <c r="G1425" s="76">
        <v>18</v>
      </c>
      <c r="H1425" s="78">
        <v>-27.363199999999999</v>
      </c>
      <c r="I1425" s="77">
        <v>27.5792</v>
      </c>
      <c r="J1425" s="78" t="s">
        <v>1</v>
      </c>
      <c r="K1425" s="76">
        <v>4.3</v>
      </c>
      <c r="L1425" s="26">
        <v>2.4</v>
      </c>
      <c r="M1425" s="58">
        <v>130</v>
      </c>
      <c r="N1425" s="59" t="s">
        <v>6</v>
      </c>
      <c r="O1425" s="61" t="s">
        <v>1219</v>
      </c>
    </row>
    <row r="1426" spans="1:15" ht="45" x14ac:dyDescent="0.25">
      <c r="A1426">
        <v>9771</v>
      </c>
      <c r="B1426" s="8">
        <v>8</v>
      </c>
      <c r="C1426" s="56" t="s">
        <v>535</v>
      </c>
      <c r="D1426">
        <v>2018</v>
      </c>
      <c r="E1426" s="8">
        <v>30</v>
      </c>
      <c r="F1426" s="9">
        <v>17.66</v>
      </c>
      <c r="G1426" s="8">
        <v>11</v>
      </c>
      <c r="H1426" s="11">
        <v>10.9628</v>
      </c>
      <c r="I1426" s="9">
        <v>-12.9909</v>
      </c>
      <c r="J1426" s="11" t="s">
        <v>1</v>
      </c>
      <c r="K1426" s="8">
        <v>3.7</v>
      </c>
      <c r="L1426" s="11">
        <v>3.1</v>
      </c>
      <c r="M1426" s="11">
        <v>22</v>
      </c>
      <c r="N1426" s="12" t="s">
        <v>15</v>
      </c>
      <c r="O1426" s="13" t="s">
        <v>1220</v>
      </c>
    </row>
    <row r="1427" spans="1:15" ht="60" x14ac:dyDescent="0.25">
      <c r="A1427">
        <v>9772</v>
      </c>
      <c r="B1427">
        <v>9</v>
      </c>
      <c r="C1427" s="56" t="s">
        <v>535</v>
      </c>
      <c r="D1427">
        <v>2018</v>
      </c>
      <c r="E1427">
        <v>39</v>
      </c>
      <c r="F1427" s="57">
        <v>16.54</v>
      </c>
      <c r="G1427">
        <v>14</v>
      </c>
      <c r="H1427" s="58">
        <v>-27.4893</v>
      </c>
      <c r="I1427" s="57">
        <v>24.779</v>
      </c>
      <c r="J1427" s="58" t="s">
        <v>1</v>
      </c>
      <c r="K1427">
        <v>4.5</v>
      </c>
      <c r="L1427" s="26"/>
      <c r="M1427" s="58">
        <v>66</v>
      </c>
      <c r="N1427" s="59" t="s">
        <v>6</v>
      </c>
      <c r="O1427" s="61" t="s">
        <v>1221</v>
      </c>
    </row>
    <row r="1428" spans="1:15" ht="45" x14ac:dyDescent="0.25">
      <c r="A1428">
        <v>9773</v>
      </c>
      <c r="B1428" s="8">
        <v>10</v>
      </c>
      <c r="C1428" s="56" t="s">
        <v>535</v>
      </c>
      <c r="D1428">
        <v>2018</v>
      </c>
      <c r="E1428" s="8">
        <v>11</v>
      </c>
      <c r="F1428" s="9">
        <v>39.71</v>
      </c>
      <c r="G1428" s="8">
        <v>6</v>
      </c>
      <c r="H1428" s="11">
        <v>9.9093</v>
      </c>
      <c r="I1428" s="9">
        <v>5.3322000000000003</v>
      </c>
      <c r="J1428" s="11" t="s">
        <v>1</v>
      </c>
      <c r="K1428" s="8">
        <v>4.0999999999999996</v>
      </c>
      <c r="L1428" s="11">
        <v>2.9</v>
      </c>
      <c r="M1428" s="11">
        <v>139</v>
      </c>
      <c r="N1428" s="12" t="s">
        <v>15</v>
      </c>
      <c r="O1428" s="13" t="s">
        <v>1222</v>
      </c>
    </row>
    <row r="1429" spans="1:15" ht="60" x14ac:dyDescent="0.25">
      <c r="A1429">
        <v>9774</v>
      </c>
      <c r="B1429" s="8">
        <v>10</v>
      </c>
      <c r="C1429" s="56" t="s">
        <v>535</v>
      </c>
      <c r="D1429">
        <v>2018</v>
      </c>
      <c r="E1429" s="8">
        <v>43</v>
      </c>
      <c r="F1429" s="57">
        <v>45.81</v>
      </c>
      <c r="G1429" s="8">
        <v>13</v>
      </c>
      <c r="H1429" s="58">
        <v>-25.6568</v>
      </c>
      <c r="I1429" s="57">
        <v>27.9726</v>
      </c>
      <c r="J1429" s="58" t="s">
        <v>1</v>
      </c>
      <c r="K1429" s="8">
        <v>4.4000000000000004</v>
      </c>
      <c r="L1429" s="26">
        <v>2.5</v>
      </c>
      <c r="M1429" s="58">
        <v>140</v>
      </c>
      <c r="N1429" s="59" t="s">
        <v>6</v>
      </c>
      <c r="O1429" s="61" t="s">
        <v>160</v>
      </c>
    </row>
    <row r="1430" spans="1:15" ht="45" x14ac:dyDescent="0.25">
      <c r="A1430">
        <v>9775</v>
      </c>
      <c r="B1430" s="8">
        <v>10</v>
      </c>
      <c r="C1430" s="56" t="s">
        <v>535</v>
      </c>
      <c r="D1430">
        <v>2018</v>
      </c>
      <c r="E1430" s="8">
        <v>41</v>
      </c>
      <c r="F1430" s="9">
        <v>14.75</v>
      </c>
      <c r="G1430" s="8">
        <v>15</v>
      </c>
      <c r="H1430" s="11">
        <v>6.3185000000000002</v>
      </c>
      <c r="I1430" s="9">
        <v>-3.992</v>
      </c>
      <c r="J1430" s="11" t="s">
        <v>1</v>
      </c>
      <c r="K1430" s="8">
        <v>4.0999999999999996</v>
      </c>
      <c r="L1430" s="11"/>
      <c r="M1430" s="11">
        <v>30</v>
      </c>
      <c r="N1430" s="12" t="s">
        <v>15</v>
      </c>
      <c r="O1430" s="13" t="s">
        <v>1223</v>
      </c>
    </row>
    <row r="1431" spans="1:15" ht="45" x14ac:dyDescent="0.25">
      <c r="A1431">
        <v>9776</v>
      </c>
      <c r="B1431" s="8">
        <v>10</v>
      </c>
      <c r="C1431" s="56" t="s">
        <v>535</v>
      </c>
      <c r="D1431">
        <v>2018</v>
      </c>
      <c r="E1431" s="8">
        <v>31</v>
      </c>
      <c r="F1431" s="9">
        <v>46.52</v>
      </c>
      <c r="G1431" s="8">
        <v>21</v>
      </c>
      <c r="H1431" s="11">
        <v>5.3811999999999998</v>
      </c>
      <c r="I1431" s="9">
        <v>-5.4130000000000003</v>
      </c>
      <c r="J1431" s="11" t="s">
        <v>1</v>
      </c>
      <c r="K1431" s="8">
        <v>4.0999999999999996</v>
      </c>
      <c r="L1431" s="11"/>
      <c r="M1431" s="11">
        <v>120</v>
      </c>
      <c r="N1431" s="12" t="s">
        <v>15</v>
      </c>
      <c r="O1431" s="13" t="s">
        <v>1224</v>
      </c>
    </row>
    <row r="1432" spans="1:15" ht="45" x14ac:dyDescent="0.25">
      <c r="A1432">
        <v>9777</v>
      </c>
      <c r="B1432" s="8">
        <v>10</v>
      </c>
      <c r="C1432" s="56" t="s">
        <v>535</v>
      </c>
      <c r="D1432">
        <v>2018</v>
      </c>
      <c r="E1432" s="8">
        <v>19</v>
      </c>
      <c r="F1432" s="9">
        <v>22.3</v>
      </c>
      <c r="G1432" s="8">
        <v>23</v>
      </c>
      <c r="H1432" s="11">
        <v>5.8815999999999997</v>
      </c>
      <c r="I1432" s="9">
        <v>-3.7143000000000002</v>
      </c>
      <c r="J1432" s="11" t="s">
        <v>1</v>
      </c>
      <c r="K1432" s="8">
        <v>4.2</v>
      </c>
      <c r="L1432" s="11" t="s">
        <v>1225</v>
      </c>
      <c r="M1432" s="11">
        <v>48</v>
      </c>
      <c r="N1432" s="12" t="s">
        <v>15</v>
      </c>
      <c r="O1432" s="13" t="s">
        <v>1226</v>
      </c>
    </row>
    <row r="1433" spans="1:15" ht="60" x14ac:dyDescent="0.25">
      <c r="A1433">
        <v>9778</v>
      </c>
      <c r="B1433" s="8">
        <v>11</v>
      </c>
      <c r="C1433" s="56" t="s">
        <v>535</v>
      </c>
      <c r="D1433">
        <v>2018</v>
      </c>
      <c r="E1433" s="8">
        <v>12</v>
      </c>
      <c r="F1433" s="9">
        <v>42.93</v>
      </c>
      <c r="G1433" s="8">
        <v>11</v>
      </c>
      <c r="H1433" s="11">
        <v>12.7544</v>
      </c>
      <c r="I1433" s="9">
        <v>-10.9284</v>
      </c>
      <c r="J1433" s="11" t="s">
        <v>1</v>
      </c>
      <c r="K1433" s="8">
        <v>3.8</v>
      </c>
      <c r="L1433" s="11"/>
      <c r="M1433" s="11">
        <v>135</v>
      </c>
      <c r="N1433" s="12" t="s">
        <v>15</v>
      </c>
      <c r="O1433" s="13" t="s">
        <v>1227</v>
      </c>
    </row>
    <row r="1434" spans="1:15" ht="75" x14ac:dyDescent="0.25">
      <c r="A1434">
        <v>9779</v>
      </c>
      <c r="B1434" s="76">
        <v>11</v>
      </c>
      <c r="C1434" s="56" t="s">
        <v>535</v>
      </c>
      <c r="D1434">
        <v>2018</v>
      </c>
      <c r="E1434" s="76">
        <v>4</v>
      </c>
      <c r="F1434" s="77">
        <v>0.67</v>
      </c>
      <c r="G1434" s="76">
        <v>13</v>
      </c>
      <c r="H1434" s="78">
        <v>30.061</v>
      </c>
      <c r="I1434" s="77">
        <v>28.572099999999999</v>
      </c>
      <c r="J1434" s="78" t="s">
        <v>1</v>
      </c>
      <c r="K1434" s="76">
        <v>4</v>
      </c>
      <c r="L1434" s="78"/>
      <c r="M1434" s="78">
        <v>179</v>
      </c>
      <c r="N1434" s="79" t="s">
        <v>72</v>
      </c>
      <c r="O1434" s="80" t="s">
        <v>1228</v>
      </c>
    </row>
    <row r="1435" spans="1:15" ht="45" x14ac:dyDescent="0.25">
      <c r="A1435">
        <v>9780</v>
      </c>
      <c r="B1435" s="76">
        <v>12</v>
      </c>
      <c r="C1435" s="56" t="s">
        <v>535</v>
      </c>
      <c r="D1435">
        <v>2018</v>
      </c>
      <c r="E1435" s="76">
        <v>45</v>
      </c>
      <c r="F1435" s="77">
        <v>42.52</v>
      </c>
      <c r="G1435" s="76">
        <v>17</v>
      </c>
      <c r="H1435" s="78">
        <v>33.225700000000003</v>
      </c>
      <c r="I1435" s="77">
        <v>-8.8879999999999999</v>
      </c>
      <c r="J1435" s="78" t="s">
        <v>1</v>
      </c>
      <c r="K1435" s="76">
        <v>4.0999999999999996</v>
      </c>
      <c r="L1435" s="78"/>
      <c r="M1435" s="78">
        <v>120</v>
      </c>
      <c r="N1435" s="79" t="s">
        <v>28</v>
      </c>
      <c r="O1435" s="80" t="s">
        <v>1052</v>
      </c>
    </row>
    <row r="1436" spans="1:15" ht="60" x14ac:dyDescent="0.25">
      <c r="A1436">
        <v>9781</v>
      </c>
      <c r="B1436" s="8">
        <v>14</v>
      </c>
      <c r="C1436" s="56" t="s">
        <v>535</v>
      </c>
      <c r="D1436">
        <v>2018</v>
      </c>
      <c r="E1436" s="8">
        <v>53</v>
      </c>
      <c r="F1436" s="9">
        <v>14.99</v>
      </c>
      <c r="G1436" s="8">
        <v>6</v>
      </c>
      <c r="H1436" s="11">
        <v>20.356100000000001</v>
      </c>
      <c r="I1436" s="9">
        <v>-10.664</v>
      </c>
      <c r="J1436" s="11" t="s">
        <v>1</v>
      </c>
      <c r="K1436" s="8">
        <v>3.8</v>
      </c>
      <c r="L1436" s="11"/>
      <c r="M1436" s="11">
        <v>133</v>
      </c>
      <c r="N1436" s="12" t="s">
        <v>15</v>
      </c>
      <c r="O1436" s="13" t="s">
        <v>1229</v>
      </c>
    </row>
    <row r="1437" spans="1:15" ht="45" x14ac:dyDescent="0.25">
      <c r="A1437">
        <v>9782</v>
      </c>
      <c r="B1437" s="8">
        <v>14</v>
      </c>
      <c r="C1437" s="56" t="s">
        <v>535</v>
      </c>
      <c r="D1437">
        <v>2018</v>
      </c>
      <c r="E1437" s="8">
        <v>49</v>
      </c>
      <c r="F1437" s="9">
        <v>5.38</v>
      </c>
      <c r="G1437" s="8">
        <v>8</v>
      </c>
      <c r="H1437" s="11">
        <v>9.2926000000000002</v>
      </c>
      <c r="I1437" s="9">
        <v>-5.2514000000000003</v>
      </c>
      <c r="J1437" s="11" t="s">
        <v>1</v>
      </c>
      <c r="K1437" s="8">
        <v>4.3</v>
      </c>
      <c r="L1437" s="11"/>
      <c r="M1437" s="11">
        <v>91</v>
      </c>
      <c r="N1437" s="12" t="s">
        <v>15</v>
      </c>
      <c r="O1437" s="13" t="s">
        <v>1230</v>
      </c>
    </row>
    <row r="1438" spans="1:15" ht="60" x14ac:dyDescent="0.25">
      <c r="A1438">
        <v>9783</v>
      </c>
      <c r="B1438" s="76">
        <v>14</v>
      </c>
      <c r="C1438" s="56" t="s">
        <v>535</v>
      </c>
      <c r="D1438">
        <v>2018</v>
      </c>
      <c r="E1438" s="76">
        <v>12</v>
      </c>
      <c r="F1438" s="77">
        <v>26.78</v>
      </c>
      <c r="G1438" s="76">
        <v>16</v>
      </c>
      <c r="H1438" s="78">
        <v>-27.063500000000001</v>
      </c>
      <c r="I1438" s="77">
        <v>28.544699999999999</v>
      </c>
      <c r="J1438" s="78" t="s">
        <v>1</v>
      </c>
      <c r="K1438" s="76">
        <v>4.5</v>
      </c>
      <c r="L1438" s="78">
        <v>2.5</v>
      </c>
      <c r="M1438" s="78">
        <v>150</v>
      </c>
      <c r="N1438" s="79" t="s">
        <v>6</v>
      </c>
      <c r="O1438" s="80" t="s">
        <v>1231</v>
      </c>
    </row>
    <row r="1439" spans="1:15" ht="45" x14ac:dyDescent="0.25">
      <c r="A1439">
        <v>9784</v>
      </c>
      <c r="B1439" s="76">
        <v>15</v>
      </c>
      <c r="C1439" s="56" t="s">
        <v>535</v>
      </c>
      <c r="D1439">
        <v>2018</v>
      </c>
      <c r="E1439" s="76">
        <v>0</v>
      </c>
      <c r="F1439" s="57">
        <v>34.380000000000003</v>
      </c>
      <c r="G1439" s="76">
        <v>7</v>
      </c>
      <c r="H1439" s="58">
        <v>36.816600000000001</v>
      </c>
      <c r="I1439" s="57">
        <v>7.5171999999999999</v>
      </c>
      <c r="J1439" s="58" t="s">
        <v>1</v>
      </c>
      <c r="K1439" s="76">
        <v>3.5</v>
      </c>
      <c r="L1439" s="26"/>
      <c r="M1439" s="58">
        <v>49</v>
      </c>
      <c r="N1439" s="59" t="s">
        <v>10</v>
      </c>
      <c r="O1439" s="61" t="s">
        <v>1232</v>
      </c>
    </row>
    <row r="1440" spans="1:15" ht="45" x14ac:dyDescent="0.25">
      <c r="A1440">
        <v>9785</v>
      </c>
      <c r="B1440" s="8">
        <v>15</v>
      </c>
      <c r="C1440" s="56" t="s">
        <v>535</v>
      </c>
      <c r="D1440">
        <v>2018</v>
      </c>
      <c r="E1440" s="8">
        <v>30</v>
      </c>
      <c r="F1440" s="9">
        <v>58.12</v>
      </c>
      <c r="G1440" s="8">
        <v>8</v>
      </c>
      <c r="H1440" s="11">
        <v>6.5266999999999999</v>
      </c>
      <c r="I1440" s="9">
        <v>-5.4976000000000003</v>
      </c>
      <c r="J1440" s="11" t="s">
        <v>1</v>
      </c>
      <c r="K1440" s="8">
        <v>4.4000000000000004</v>
      </c>
      <c r="L1440" s="11"/>
      <c r="M1440" s="11">
        <v>0</v>
      </c>
      <c r="N1440" s="12" t="s">
        <v>15</v>
      </c>
      <c r="O1440" s="13" t="s">
        <v>1195</v>
      </c>
    </row>
    <row r="1441" spans="1:15" ht="30" x14ac:dyDescent="0.25">
      <c r="A1441">
        <v>9786</v>
      </c>
      <c r="B1441" s="76">
        <v>15</v>
      </c>
      <c r="C1441" s="56" t="s">
        <v>535</v>
      </c>
      <c r="D1441">
        <v>2018</v>
      </c>
      <c r="E1441" s="76">
        <v>4</v>
      </c>
      <c r="F1441" s="57">
        <v>8.36</v>
      </c>
      <c r="G1441" s="76">
        <v>20</v>
      </c>
      <c r="H1441" s="58">
        <v>22.416</v>
      </c>
      <c r="I1441" s="57">
        <v>15.4117</v>
      </c>
      <c r="J1441" s="58" t="s">
        <v>1</v>
      </c>
      <c r="K1441" s="76">
        <v>3.8</v>
      </c>
      <c r="L1441" s="26"/>
      <c r="M1441" s="58">
        <v>130</v>
      </c>
      <c r="N1441" s="59" t="s">
        <v>139</v>
      </c>
      <c r="O1441" s="61" t="s">
        <v>1233</v>
      </c>
    </row>
    <row r="1442" spans="1:15" ht="60" x14ac:dyDescent="0.25">
      <c r="A1442">
        <v>9787</v>
      </c>
      <c r="B1442" s="76">
        <v>16</v>
      </c>
      <c r="C1442" s="56" t="s">
        <v>535</v>
      </c>
      <c r="D1442">
        <v>2018</v>
      </c>
      <c r="E1442" s="76">
        <v>4</v>
      </c>
      <c r="F1442" s="57">
        <v>19.45</v>
      </c>
      <c r="G1442" s="76">
        <v>12</v>
      </c>
      <c r="H1442" s="58">
        <v>-22.752500000000001</v>
      </c>
      <c r="I1442" s="57">
        <v>31.365100000000002</v>
      </c>
      <c r="J1442" s="58" t="s">
        <v>1</v>
      </c>
      <c r="K1442" s="76">
        <v>4.2</v>
      </c>
      <c r="L1442" s="26">
        <v>4.2</v>
      </c>
      <c r="M1442" s="58">
        <v>118</v>
      </c>
      <c r="N1442" s="59" t="s">
        <v>75</v>
      </c>
      <c r="O1442" s="61" t="s">
        <v>1234</v>
      </c>
    </row>
    <row r="1443" spans="1:15" ht="75" x14ac:dyDescent="0.25">
      <c r="A1443">
        <v>9788</v>
      </c>
      <c r="B1443" s="76">
        <v>16</v>
      </c>
      <c r="C1443" s="56" t="s">
        <v>535</v>
      </c>
      <c r="D1443">
        <v>2018</v>
      </c>
      <c r="E1443" s="76">
        <v>12</v>
      </c>
      <c r="F1443" s="57">
        <v>15.98</v>
      </c>
      <c r="G1443" s="76">
        <v>22</v>
      </c>
      <c r="H1443" s="58">
        <v>-7.6692999999999998</v>
      </c>
      <c r="I1443" s="57">
        <v>27.226900000000001</v>
      </c>
      <c r="J1443" s="58" t="s">
        <v>1</v>
      </c>
      <c r="K1443" s="76">
        <v>3.6</v>
      </c>
      <c r="L1443" s="26"/>
      <c r="M1443" s="58">
        <v>90</v>
      </c>
      <c r="N1443" s="59" t="s">
        <v>8</v>
      </c>
      <c r="O1443" s="61" t="s">
        <v>1235</v>
      </c>
    </row>
    <row r="1444" spans="1:15" ht="60" x14ac:dyDescent="0.25">
      <c r="A1444">
        <v>9789</v>
      </c>
      <c r="B1444" s="76">
        <v>16</v>
      </c>
      <c r="C1444" s="56" t="s">
        <v>535</v>
      </c>
      <c r="D1444">
        <v>2018</v>
      </c>
      <c r="E1444" s="76">
        <v>16</v>
      </c>
      <c r="F1444" s="57">
        <v>33.78</v>
      </c>
      <c r="G1444" s="76">
        <v>22</v>
      </c>
      <c r="H1444" s="58">
        <v>34.201000000000001</v>
      </c>
      <c r="I1444" s="57">
        <v>-6.9484000000000004</v>
      </c>
      <c r="J1444" s="58" t="s">
        <v>1</v>
      </c>
      <c r="K1444" s="76">
        <v>3.8</v>
      </c>
      <c r="L1444" s="26"/>
      <c r="M1444" s="58">
        <v>166</v>
      </c>
      <c r="N1444" s="59" t="s">
        <v>28</v>
      </c>
      <c r="O1444" s="61" t="s">
        <v>1236</v>
      </c>
    </row>
    <row r="1445" spans="1:15" ht="60" x14ac:dyDescent="0.25">
      <c r="A1445">
        <v>9790</v>
      </c>
      <c r="B1445" s="76">
        <v>16</v>
      </c>
      <c r="C1445" s="56" t="s">
        <v>535</v>
      </c>
      <c r="D1445">
        <v>2018</v>
      </c>
      <c r="E1445" s="76">
        <v>59</v>
      </c>
      <c r="F1445" s="57">
        <v>10.47</v>
      </c>
      <c r="G1445" s="76">
        <v>23</v>
      </c>
      <c r="H1445" s="58">
        <v>-21.196899999999999</v>
      </c>
      <c r="I1445" s="57">
        <v>42.901699999999998</v>
      </c>
      <c r="J1445" s="58" t="s">
        <v>1</v>
      </c>
      <c r="K1445" s="76">
        <v>4.7</v>
      </c>
      <c r="L1445" s="26"/>
      <c r="M1445" s="58">
        <v>55</v>
      </c>
      <c r="N1445" s="59" t="s">
        <v>177</v>
      </c>
      <c r="O1445" s="61" t="s">
        <v>895</v>
      </c>
    </row>
    <row r="1446" spans="1:15" ht="60" x14ac:dyDescent="0.25">
      <c r="A1446">
        <v>9791</v>
      </c>
      <c r="B1446" s="76">
        <v>17</v>
      </c>
      <c r="C1446" s="56" t="s">
        <v>535</v>
      </c>
      <c r="D1446">
        <v>2018</v>
      </c>
      <c r="E1446" s="76">
        <v>17</v>
      </c>
      <c r="F1446" s="57">
        <v>4.71</v>
      </c>
      <c r="G1446" s="76">
        <v>5</v>
      </c>
      <c r="H1446" s="58">
        <v>-26.587800000000001</v>
      </c>
      <c r="I1446" s="57">
        <v>27.478899999999999</v>
      </c>
      <c r="J1446" s="58"/>
      <c r="K1446" s="76">
        <v>3.7</v>
      </c>
      <c r="L1446" s="26">
        <v>3.7</v>
      </c>
      <c r="M1446" s="58">
        <v>175</v>
      </c>
      <c r="N1446" s="59" t="s">
        <v>6</v>
      </c>
      <c r="O1446" s="61" t="s">
        <v>1237</v>
      </c>
    </row>
    <row r="1447" spans="1:15" ht="75" x14ac:dyDescent="0.25">
      <c r="A1447">
        <v>9792</v>
      </c>
      <c r="B1447" s="76">
        <v>17</v>
      </c>
      <c r="C1447" s="56" t="s">
        <v>535</v>
      </c>
      <c r="D1447">
        <v>2018</v>
      </c>
      <c r="E1447" s="76">
        <v>41</v>
      </c>
      <c r="F1447" s="57">
        <v>36.17</v>
      </c>
      <c r="G1447" s="76">
        <v>16</v>
      </c>
      <c r="H1447" s="58">
        <v>-24.5274</v>
      </c>
      <c r="I1447" s="57">
        <v>30.276599999999998</v>
      </c>
      <c r="J1447" s="58" t="s">
        <v>1</v>
      </c>
      <c r="K1447" s="76"/>
      <c r="L1447" s="26">
        <v>3.4</v>
      </c>
      <c r="M1447" s="58">
        <v>138</v>
      </c>
      <c r="N1447" s="59" t="s">
        <v>6</v>
      </c>
      <c r="O1447" s="61" t="s">
        <v>1238</v>
      </c>
    </row>
    <row r="1448" spans="1:15" ht="75" x14ac:dyDescent="0.25">
      <c r="A1448">
        <v>9793</v>
      </c>
      <c r="B1448" s="76">
        <v>18</v>
      </c>
      <c r="C1448" s="56" t="s">
        <v>535</v>
      </c>
      <c r="D1448">
        <v>2018</v>
      </c>
      <c r="E1448" s="76">
        <v>24</v>
      </c>
      <c r="F1448" s="57">
        <v>56.22</v>
      </c>
      <c r="G1448" s="76">
        <v>11</v>
      </c>
      <c r="H1448" s="58">
        <v>-28.5046</v>
      </c>
      <c r="I1448" s="57">
        <v>25.433900000000001</v>
      </c>
      <c r="J1448" s="58"/>
      <c r="K1448" s="76">
        <v>3.6</v>
      </c>
      <c r="L1448" s="26"/>
      <c r="M1448" s="58">
        <v>61</v>
      </c>
      <c r="N1448" s="59" t="s">
        <v>6</v>
      </c>
      <c r="O1448" s="61" t="s">
        <v>1239</v>
      </c>
    </row>
    <row r="1449" spans="1:15" ht="75" x14ac:dyDescent="0.25">
      <c r="A1449">
        <v>9794</v>
      </c>
      <c r="B1449">
        <v>18</v>
      </c>
      <c r="C1449" s="56" t="s">
        <v>535</v>
      </c>
      <c r="D1449">
        <v>2018</v>
      </c>
      <c r="E1449" s="76">
        <v>21</v>
      </c>
      <c r="F1449" s="57">
        <v>47.42</v>
      </c>
      <c r="G1449" s="76">
        <v>15</v>
      </c>
      <c r="H1449" s="58">
        <v>-23.823</v>
      </c>
      <c r="I1449" s="57">
        <v>30.316299999999998</v>
      </c>
      <c r="J1449" s="58" t="s">
        <v>1</v>
      </c>
      <c r="L1449" s="26">
        <v>3.2</v>
      </c>
      <c r="M1449" s="58">
        <v>128</v>
      </c>
      <c r="N1449" s="59" t="s">
        <v>6</v>
      </c>
      <c r="O1449" s="61" t="s">
        <v>1240</v>
      </c>
    </row>
    <row r="1450" spans="1:15" ht="45" x14ac:dyDescent="0.25">
      <c r="A1450">
        <v>9795</v>
      </c>
      <c r="B1450" s="8">
        <v>19</v>
      </c>
      <c r="C1450" s="56" t="s">
        <v>535</v>
      </c>
      <c r="D1450">
        <v>2018</v>
      </c>
      <c r="E1450" s="8">
        <v>2</v>
      </c>
      <c r="F1450" s="9">
        <v>32.47</v>
      </c>
      <c r="G1450" s="8">
        <v>16</v>
      </c>
      <c r="H1450" s="11">
        <v>11.892300000000001</v>
      </c>
      <c r="I1450" s="9">
        <v>-11.5799</v>
      </c>
      <c r="J1450" s="11" t="s">
        <v>1</v>
      </c>
      <c r="K1450" s="8">
        <v>3.8</v>
      </c>
      <c r="L1450" s="11">
        <v>3.6</v>
      </c>
      <c r="M1450" s="11">
        <v>122</v>
      </c>
      <c r="N1450" s="12" t="s">
        <v>15</v>
      </c>
      <c r="O1450" s="13" t="s">
        <v>1241</v>
      </c>
    </row>
    <row r="1451" spans="1:15" ht="45" x14ac:dyDescent="0.25">
      <c r="A1451">
        <v>9796</v>
      </c>
      <c r="B1451" s="8">
        <v>19</v>
      </c>
      <c r="C1451" s="56" t="s">
        <v>535</v>
      </c>
      <c r="D1451">
        <v>2018</v>
      </c>
      <c r="E1451" s="8">
        <v>4</v>
      </c>
      <c r="F1451" s="9">
        <v>52.33</v>
      </c>
      <c r="G1451" s="8">
        <v>16</v>
      </c>
      <c r="H1451" s="11">
        <v>11.973800000000001</v>
      </c>
      <c r="I1451" s="9">
        <v>-1.8406</v>
      </c>
      <c r="J1451" s="11" t="s">
        <v>1</v>
      </c>
      <c r="K1451" s="8"/>
      <c r="L1451" s="11">
        <v>3.3</v>
      </c>
      <c r="M1451" s="11">
        <v>139</v>
      </c>
      <c r="N1451" s="12" t="s">
        <v>15</v>
      </c>
      <c r="O1451" s="13" t="s">
        <v>1242</v>
      </c>
    </row>
    <row r="1452" spans="1:15" ht="45" x14ac:dyDescent="0.25">
      <c r="A1452">
        <v>9797</v>
      </c>
      <c r="B1452" s="76">
        <v>20</v>
      </c>
      <c r="C1452" s="56" t="s">
        <v>535</v>
      </c>
      <c r="D1452">
        <v>2018</v>
      </c>
      <c r="E1452" s="76">
        <v>47</v>
      </c>
      <c r="F1452" s="57">
        <v>39.299999999999997</v>
      </c>
      <c r="G1452" s="76">
        <v>9</v>
      </c>
      <c r="H1452" s="58">
        <v>36.305700000000002</v>
      </c>
      <c r="I1452" s="57">
        <v>7.7202999999999999</v>
      </c>
      <c r="J1452" s="58" t="s">
        <v>1</v>
      </c>
      <c r="K1452">
        <v>3.8</v>
      </c>
      <c r="L1452" s="26"/>
      <c r="M1452" s="58">
        <v>30</v>
      </c>
      <c r="N1452" s="59" t="s">
        <v>10</v>
      </c>
      <c r="O1452" s="61" t="s">
        <v>1243</v>
      </c>
    </row>
    <row r="1453" spans="1:15" ht="45" x14ac:dyDescent="0.25">
      <c r="A1453">
        <v>9798</v>
      </c>
      <c r="B1453" s="76">
        <v>21</v>
      </c>
      <c r="C1453" s="56" t="s">
        <v>535</v>
      </c>
      <c r="D1453">
        <v>2018</v>
      </c>
      <c r="E1453" s="76">
        <v>22</v>
      </c>
      <c r="F1453" s="57">
        <v>34.4</v>
      </c>
      <c r="G1453" s="76">
        <v>7</v>
      </c>
      <c r="H1453" s="58">
        <v>32.964700000000001</v>
      </c>
      <c r="I1453" s="57">
        <v>24.938500000000001</v>
      </c>
      <c r="J1453" s="58" t="s">
        <v>1</v>
      </c>
      <c r="K1453">
        <v>4</v>
      </c>
      <c r="L1453" s="26">
        <v>3.7</v>
      </c>
      <c r="M1453" s="58">
        <v>36</v>
      </c>
      <c r="N1453" s="59" t="s">
        <v>135</v>
      </c>
      <c r="O1453" s="61" t="s">
        <v>1244</v>
      </c>
    </row>
    <row r="1454" spans="1:15" ht="45" x14ac:dyDescent="0.25">
      <c r="A1454">
        <v>9799</v>
      </c>
      <c r="B1454" s="76">
        <v>21</v>
      </c>
      <c r="C1454" s="56" t="s">
        <v>535</v>
      </c>
      <c r="D1454">
        <v>2018</v>
      </c>
      <c r="E1454" s="76">
        <v>37</v>
      </c>
      <c r="F1454" s="57">
        <v>39.76</v>
      </c>
      <c r="G1454" s="76">
        <v>9</v>
      </c>
      <c r="H1454" s="58">
        <v>35.664499999999997</v>
      </c>
      <c r="I1454" s="57">
        <v>0.1021</v>
      </c>
      <c r="J1454" s="58" t="s">
        <v>1</v>
      </c>
      <c r="K1454">
        <v>3.6</v>
      </c>
      <c r="L1454" s="26">
        <v>3.4</v>
      </c>
      <c r="M1454" s="58">
        <v>29</v>
      </c>
      <c r="N1454" s="59" t="s">
        <v>10</v>
      </c>
      <c r="O1454" s="61" t="s">
        <v>1245</v>
      </c>
    </row>
    <row r="1455" spans="1:15" ht="60" x14ac:dyDescent="0.25">
      <c r="A1455">
        <v>9800</v>
      </c>
      <c r="B1455" s="76">
        <v>21</v>
      </c>
      <c r="C1455" s="56" t="s">
        <v>535</v>
      </c>
      <c r="D1455">
        <v>2018</v>
      </c>
      <c r="E1455" s="76">
        <v>52</v>
      </c>
      <c r="F1455" s="57">
        <v>20.37</v>
      </c>
      <c r="G1455" s="76">
        <v>14</v>
      </c>
      <c r="H1455" s="58">
        <v>-27.626200000000001</v>
      </c>
      <c r="I1455" s="57">
        <v>24.6098</v>
      </c>
      <c r="J1455" s="58" t="s">
        <v>1</v>
      </c>
      <c r="K1455">
        <v>4.5</v>
      </c>
      <c r="L1455" s="26"/>
      <c r="M1455" s="58">
        <v>63</v>
      </c>
      <c r="N1455" s="59" t="s">
        <v>6</v>
      </c>
      <c r="O1455" s="61" t="s">
        <v>1246</v>
      </c>
    </row>
    <row r="1456" spans="1:15" ht="90" x14ac:dyDescent="0.25">
      <c r="A1456">
        <v>9801</v>
      </c>
      <c r="B1456" s="8">
        <v>22</v>
      </c>
      <c r="C1456" s="56" t="s">
        <v>535</v>
      </c>
      <c r="D1456">
        <v>2018</v>
      </c>
      <c r="E1456" s="8">
        <v>40</v>
      </c>
      <c r="F1456" s="9">
        <v>3.52</v>
      </c>
      <c r="G1456" s="8">
        <v>7</v>
      </c>
      <c r="H1456" s="11">
        <v>7.0495999999999999</v>
      </c>
      <c r="I1456" s="9">
        <v>-16.781700000000001</v>
      </c>
      <c r="J1456" s="11" t="s">
        <v>1</v>
      </c>
      <c r="K1456" s="8">
        <v>4.0999999999999996</v>
      </c>
      <c r="L1456" s="11">
        <v>3.7</v>
      </c>
      <c r="M1456" s="11">
        <v>56</v>
      </c>
      <c r="N1456" s="12" t="s">
        <v>1247</v>
      </c>
      <c r="O1456" s="13" t="s">
        <v>866</v>
      </c>
    </row>
    <row r="1457" spans="1:15" ht="60" x14ac:dyDescent="0.25">
      <c r="A1457">
        <v>9802</v>
      </c>
      <c r="B1457" s="76">
        <v>22</v>
      </c>
      <c r="C1457" s="56" t="s">
        <v>535</v>
      </c>
      <c r="D1457">
        <v>2018</v>
      </c>
      <c r="E1457" s="76">
        <v>18</v>
      </c>
      <c r="F1457" s="57">
        <v>14</v>
      </c>
      <c r="G1457" s="76">
        <v>22</v>
      </c>
      <c r="H1457" s="58">
        <v>-23.165500000000002</v>
      </c>
      <c r="I1457" s="57">
        <v>29.859500000000001</v>
      </c>
      <c r="J1457" s="58" t="s">
        <v>1</v>
      </c>
      <c r="K1457">
        <v>3.7</v>
      </c>
      <c r="L1457" s="26">
        <v>3.1</v>
      </c>
      <c r="M1457" s="58">
        <v>116</v>
      </c>
      <c r="N1457" s="59" t="s">
        <v>6</v>
      </c>
      <c r="O1457" s="61" t="s">
        <v>1248</v>
      </c>
    </row>
    <row r="1458" spans="1:15" ht="60" x14ac:dyDescent="0.25">
      <c r="A1458">
        <v>9803</v>
      </c>
      <c r="B1458" s="8">
        <v>23</v>
      </c>
      <c r="C1458" s="56" t="s">
        <v>535</v>
      </c>
      <c r="D1458">
        <v>2018</v>
      </c>
      <c r="E1458" s="8">
        <v>22</v>
      </c>
      <c r="F1458" s="9">
        <v>43.53</v>
      </c>
      <c r="G1458" s="8">
        <v>6</v>
      </c>
      <c r="H1458" s="11">
        <v>7.1769999999999996</v>
      </c>
      <c r="I1458" s="9">
        <v>-14.299899999999999</v>
      </c>
      <c r="J1458" s="11" t="s">
        <v>1</v>
      </c>
      <c r="K1458" s="8">
        <v>3.7</v>
      </c>
      <c r="L1458" s="11"/>
      <c r="M1458" s="11">
        <v>173</v>
      </c>
      <c r="N1458" s="12" t="s">
        <v>15</v>
      </c>
      <c r="O1458" s="13" t="s">
        <v>866</v>
      </c>
    </row>
    <row r="1459" spans="1:15" ht="45" x14ac:dyDescent="0.25">
      <c r="A1459">
        <v>9804</v>
      </c>
      <c r="B1459" s="76">
        <v>23</v>
      </c>
      <c r="C1459" s="56" t="s">
        <v>535</v>
      </c>
      <c r="D1459">
        <v>2018</v>
      </c>
      <c r="E1459" s="76">
        <v>56</v>
      </c>
      <c r="F1459" s="57">
        <v>32.549999999999997</v>
      </c>
      <c r="G1459" s="76">
        <v>16</v>
      </c>
      <c r="H1459" s="58">
        <v>31.692900000000002</v>
      </c>
      <c r="I1459" s="57">
        <v>0.55030000000000001</v>
      </c>
      <c r="J1459" s="58" t="s">
        <v>1</v>
      </c>
      <c r="K1459">
        <v>3.8</v>
      </c>
      <c r="L1459" s="26"/>
      <c r="M1459" s="58">
        <v>149</v>
      </c>
      <c r="N1459" s="59" t="s">
        <v>10</v>
      </c>
      <c r="O1459" s="61" t="s">
        <v>1249</v>
      </c>
    </row>
    <row r="1460" spans="1:15" ht="45" x14ac:dyDescent="0.25">
      <c r="A1460">
        <v>9805</v>
      </c>
      <c r="B1460" s="8">
        <v>24</v>
      </c>
      <c r="C1460" s="56" t="s">
        <v>535</v>
      </c>
      <c r="D1460">
        <v>2018</v>
      </c>
      <c r="E1460" s="8">
        <v>29</v>
      </c>
      <c r="F1460" s="9">
        <v>15.66</v>
      </c>
      <c r="G1460" s="8">
        <v>0</v>
      </c>
      <c r="H1460" s="11">
        <v>15.5647</v>
      </c>
      <c r="I1460" s="9">
        <v>-15.7437</v>
      </c>
      <c r="J1460" s="11" t="s">
        <v>1</v>
      </c>
      <c r="K1460" s="8">
        <v>4.0999999999999996</v>
      </c>
      <c r="L1460" s="11"/>
      <c r="M1460" s="11">
        <v>126</v>
      </c>
      <c r="N1460" s="12" t="s">
        <v>15</v>
      </c>
      <c r="O1460" s="13" t="s">
        <v>1250</v>
      </c>
    </row>
    <row r="1461" spans="1:15" ht="45" x14ac:dyDescent="0.25">
      <c r="A1461">
        <v>9806</v>
      </c>
      <c r="B1461" s="8">
        <v>24</v>
      </c>
      <c r="C1461" s="56" t="s">
        <v>535</v>
      </c>
      <c r="D1461">
        <v>2018</v>
      </c>
      <c r="E1461" s="8">
        <v>25</v>
      </c>
      <c r="F1461" s="9">
        <v>51.04</v>
      </c>
      <c r="G1461" s="8">
        <v>2</v>
      </c>
      <c r="H1461" s="11">
        <v>12.897600000000001</v>
      </c>
      <c r="I1461" s="9">
        <v>1.6452</v>
      </c>
      <c r="J1461" s="11" t="s">
        <v>1</v>
      </c>
      <c r="K1461" s="8">
        <v>4</v>
      </c>
      <c r="L1461" s="11"/>
      <c r="M1461" s="11">
        <v>14</v>
      </c>
      <c r="N1461" s="12" t="s">
        <v>15</v>
      </c>
      <c r="O1461" s="13" t="s">
        <v>1251</v>
      </c>
    </row>
    <row r="1462" spans="1:15" ht="60" x14ac:dyDescent="0.25">
      <c r="A1462">
        <v>9807</v>
      </c>
      <c r="B1462" s="76">
        <v>24</v>
      </c>
      <c r="C1462" s="56" t="s">
        <v>535</v>
      </c>
      <c r="D1462">
        <v>2018</v>
      </c>
      <c r="E1462" s="76">
        <v>48</v>
      </c>
      <c r="F1462" s="77">
        <v>28.14</v>
      </c>
      <c r="G1462" s="76">
        <v>8</v>
      </c>
      <c r="H1462" s="78">
        <v>-26.4831</v>
      </c>
      <c r="I1462" s="77">
        <v>27.490100000000002</v>
      </c>
      <c r="J1462" s="78" t="s">
        <v>1</v>
      </c>
      <c r="K1462" s="76">
        <v>3.4</v>
      </c>
      <c r="L1462" s="78">
        <v>3.4</v>
      </c>
      <c r="M1462" s="78">
        <v>116</v>
      </c>
      <c r="N1462" s="79" t="s">
        <v>6</v>
      </c>
      <c r="O1462" s="80" t="s">
        <v>1237</v>
      </c>
    </row>
    <row r="1463" spans="1:15" ht="60" x14ac:dyDescent="0.25">
      <c r="A1463">
        <v>9808</v>
      </c>
      <c r="B1463" s="76">
        <v>26</v>
      </c>
      <c r="C1463" s="56" t="s">
        <v>535</v>
      </c>
      <c r="D1463">
        <v>2018</v>
      </c>
      <c r="E1463" s="76">
        <v>21</v>
      </c>
      <c r="F1463" s="77">
        <v>7.55</v>
      </c>
      <c r="G1463" s="76">
        <v>14</v>
      </c>
      <c r="H1463" s="78">
        <v>-28.267399999999999</v>
      </c>
      <c r="I1463" s="77">
        <v>25.852399999999999</v>
      </c>
      <c r="J1463" s="78" t="s">
        <v>1</v>
      </c>
      <c r="K1463" s="76">
        <v>4.5999999999999996</v>
      </c>
      <c r="L1463" s="78"/>
      <c r="M1463" s="78">
        <v>111</v>
      </c>
      <c r="N1463" s="79" t="s">
        <v>6</v>
      </c>
      <c r="O1463" s="80" t="s">
        <v>1252</v>
      </c>
    </row>
    <row r="1464" spans="1:15" ht="75" x14ac:dyDescent="0.25">
      <c r="A1464">
        <v>9809</v>
      </c>
      <c r="B1464" s="76">
        <v>26</v>
      </c>
      <c r="C1464" s="56" t="s">
        <v>535</v>
      </c>
      <c r="D1464">
        <v>2018</v>
      </c>
      <c r="E1464" s="76">
        <v>15</v>
      </c>
      <c r="F1464" s="57">
        <v>57.98</v>
      </c>
      <c r="G1464" s="76">
        <v>17</v>
      </c>
      <c r="H1464" s="58">
        <v>29.108799999999999</v>
      </c>
      <c r="I1464" s="57">
        <v>-1.4435</v>
      </c>
      <c r="J1464" s="58" t="s">
        <v>1</v>
      </c>
      <c r="K1464">
        <v>4</v>
      </c>
      <c r="L1464" s="26"/>
      <c r="M1464" s="58">
        <v>94</v>
      </c>
      <c r="N1464" s="59" t="s">
        <v>10</v>
      </c>
      <c r="O1464" s="61" t="s">
        <v>1253</v>
      </c>
    </row>
    <row r="1465" spans="1:15" ht="45" x14ac:dyDescent="0.25">
      <c r="A1465">
        <v>9810</v>
      </c>
      <c r="B1465" s="8">
        <v>27</v>
      </c>
      <c r="C1465" s="56" t="s">
        <v>535</v>
      </c>
      <c r="D1465">
        <v>2018</v>
      </c>
      <c r="E1465" s="8">
        <v>19</v>
      </c>
      <c r="F1465" s="9">
        <v>28.68</v>
      </c>
      <c r="G1465" s="8">
        <v>0</v>
      </c>
      <c r="H1465" s="11">
        <v>26.343</v>
      </c>
      <c r="I1465" s="9">
        <v>-11.8916</v>
      </c>
      <c r="J1465" s="11" t="s">
        <v>1</v>
      </c>
      <c r="K1465" s="8">
        <v>3.3</v>
      </c>
      <c r="L1465" s="11"/>
      <c r="M1465" s="11">
        <v>153</v>
      </c>
      <c r="N1465" s="12" t="s">
        <v>15</v>
      </c>
      <c r="O1465" s="13" t="s">
        <v>1254</v>
      </c>
    </row>
    <row r="1466" spans="1:15" ht="90" x14ac:dyDescent="0.25">
      <c r="A1466">
        <v>9811</v>
      </c>
      <c r="B1466" s="76">
        <v>27</v>
      </c>
      <c r="C1466" s="56" t="s">
        <v>535</v>
      </c>
      <c r="D1466">
        <v>2018</v>
      </c>
      <c r="E1466" s="76">
        <v>10</v>
      </c>
      <c r="F1466" s="57">
        <v>37.76</v>
      </c>
      <c r="G1466" s="76">
        <v>15</v>
      </c>
      <c r="H1466" s="58">
        <v>-25.157599999999999</v>
      </c>
      <c r="I1466" s="57">
        <v>27.8185</v>
      </c>
      <c r="J1466" s="58" t="s">
        <v>1</v>
      </c>
      <c r="K1466">
        <v>3.5</v>
      </c>
      <c r="L1466" s="26">
        <v>3.4</v>
      </c>
      <c r="M1466" s="58">
        <v>107</v>
      </c>
      <c r="N1466" s="59" t="s">
        <v>6</v>
      </c>
      <c r="O1466" s="61" t="s">
        <v>1255</v>
      </c>
    </row>
    <row r="1467" spans="1:15" ht="60" x14ac:dyDescent="0.25">
      <c r="A1467">
        <v>9812</v>
      </c>
      <c r="B1467" s="8">
        <v>28</v>
      </c>
      <c r="C1467" s="56" t="s">
        <v>535</v>
      </c>
      <c r="D1467">
        <v>2018</v>
      </c>
      <c r="E1467" s="8">
        <v>15</v>
      </c>
      <c r="F1467" s="9">
        <v>54.49</v>
      </c>
      <c r="G1467" s="8">
        <v>3</v>
      </c>
      <c r="H1467" s="11">
        <v>5.327</v>
      </c>
      <c r="I1467" s="9">
        <v>-4.4771999999999998</v>
      </c>
      <c r="J1467" s="11" t="s">
        <v>1</v>
      </c>
      <c r="K1467" s="8">
        <v>3.9</v>
      </c>
      <c r="L1467" s="11"/>
      <c r="M1467" s="11">
        <v>78</v>
      </c>
      <c r="N1467" s="12" t="s">
        <v>15</v>
      </c>
      <c r="O1467" s="13" t="s">
        <v>1256</v>
      </c>
    </row>
    <row r="1468" spans="1:15" ht="30" x14ac:dyDescent="0.25">
      <c r="A1468">
        <v>9813</v>
      </c>
      <c r="B1468" s="76">
        <v>28</v>
      </c>
      <c r="C1468" s="56" t="s">
        <v>535</v>
      </c>
      <c r="D1468">
        <v>2018</v>
      </c>
      <c r="E1468" s="76">
        <v>12</v>
      </c>
      <c r="F1468" s="57">
        <v>19.420000000000002</v>
      </c>
      <c r="G1468" s="76">
        <v>9</v>
      </c>
      <c r="H1468" s="58">
        <v>29.766300000000001</v>
      </c>
      <c r="I1468" s="57">
        <v>-7.4276</v>
      </c>
      <c r="J1468" s="58" t="s">
        <v>1</v>
      </c>
      <c r="K1468">
        <v>3.8</v>
      </c>
      <c r="L1468" s="26"/>
      <c r="M1468" s="58">
        <v>142</v>
      </c>
      <c r="N1468" s="59" t="s">
        <v>28</v>
      </c>
      <c r="O1468" s="61" t="s">
        <v>1257</v>
      </c>
    </row>
    <row r="1469" spans="1:15" ht="45" x14ac:dyDescent="0.25">
      <c r="A1469">
        <v>9814</v>
      </c>
      <c r="B1469" s="76">
        <v>28</v>
      </c>
      <c r="C1469" s="56" t="s">
        <v>535</v>
      </c>
      <c r="D1469">
        <v>2018</v>
      </c>
      <c r="E1469" s="76">
        <v>36</v>
      </c>
      <c r="F1469" s="57">
        <v>44.53</v>
      </c>
      <c r="G1469" s="76">
        <v>21</v>
      </c>
      <c r="H1469" s="58">
        <v>31.337199999999999</v>
      </c>
      <c r="I1469" s="57">
        <v>19.453199999999999</v>
      </c>
      <c r="J1469" s="58" t="s">
        <v>1</v>
      </c>
      <c r="K1469">
        <v>4</v>
      </c>
      <c r="L1469" s="26"/>
      <c r="M1469" s="58">
        <v>134</v>
      </c>
      <c r="N1469" s="59" t="s">
        <v>135</v>
      </c>
      <c r="O1469" s="61"/>
    </row>
    <row r="1470" spans="1:15" ht="47.25" x14ac:dyDescent="0.25">
      <c r="A1470">
        <v>9815</v>
      </c>
      <c r="B1470" s="81">
        <v>1</v>
      </c>
      <c r="C1470" s="82" t="s">
        <v>569</v>
      </c>
      <c r="D1470">
        <v>2018</v>
      </c>
      <c r="E1470" s="81">
        <v>36</v>
      </c>
      <c r="F1470" s="83">
        <v>31.16</v>
      </c>
      <c r="G1470" s="81">
        <v>3</v>
      </c>
      <c r="H1470" s="84">
        <v>5.7950999999999997</v>
      </c>
      <c r="I1470" s="83">
        <v>-3.7587000000000002</v>
      </c>
      <c r="J1470" s="84" t="s">
        <v>1</v>
      </c>
      <c r="K1470" s="81">
        <v>4.2</v>
      </c>
      <c r="L1470" s="84"/>
      <c r="M1470" s="84">
        <v>45</v>
      </c>
      <c r="N1470" s="85" t="s">
        <v>15</v>
      </c>
      <c r="O1470" s="86" t="s">
        <v>1226</v>
      </c>
    </row>
    <row r="1471" spans="1:15" ht="94.5" x14ac:dyDescent="0.25">
      <c r="A1471">
        <v>9816</v>
      </c>
      <c r="B1471" s="81">
        <v>1</v>
      </c>
      <c r="C1471" s="82" t="s">
        <v>569</v>
      </c>
      <c r="D1471">
        <v>2018</v>
      </c>
      <c r="E1471" s="81">
        <v>5</v>
      </c>
      <c r="F1471" s="83">
        <v>41.84</v>
      </c>
      <c r="G1471" s="81">
        <v>9</v>
      </c>
      <c r="H1471" s="84">
        <v>8.5693999999999999</v>
      </c>
      <c r="I1471" s="83">
        <v>-11.915100000000001</v>
      </c>
      <c r="J1471" s="84" t="s">
        <v>1</v>
      </c>
      <c r="K1471" s="81">
        <v>3.8</v>
      </c>
      <c r="L1471" s="84">
        <v>2.6</v>
      </c>
      <c r="M1471" s="84">
        <v>175</v>
      </c>
      <c r="N1471" s="85" t="s">
        <v>15</v>
      </c>
      <c r="O1471" s="86" t="s">
        <v>1258</v>
      </c>
    </row>
    <row r="1472" spans="1:15" ht="78.75" x14ac:dyDescent="0.25">
      <c r="A1472">
        <v>9817</v>
      </c>
      <c r="B1472" s="87">
        <v>1</v>
      </c>
      <c r="C1472" s="82" t="s">
        <v>569</v>
      </c>
      <c r="D1472">
        <v>2018</v>
      </c>
      <c r="E1472" s="87">
        <v>50</v>
      </c>
      <c r="F1472" s="88">
        <v>43.23</v>
      </c>
      <c r="G1472" s="87">
        <v>15</v>
      </c>
      <c r="H1472" s="89">
        <v>-27.646699999999999</v>
      </c>
      <c r="I1472" s="88">
        <v>24.553799999999999</v>
      </c>
      <c r="J1472" s="89" t="s">
        <v>1</v>
      </c>
      <c r="K1472" s="87">
        <v>3.8</v>
      </c>
      <c r="L1472" s="90"/>
      <c r="M1472" s="89">
        <v>53</v>
      </c>
      <c r="N1472" s="91" t="s">
        <v>6</v>
      </c>
      <c r="O1472" s="92" t="s">
        <v>1259</v>
      </c>
    </row>
    <row r="1473" spans="1:15" ht="63" x14ac:dyDescent="0.25">
      <c r="A1473">
        <v>9818</v>
      </c>
      <c r="B1473" s="81">
        <v>1</v>
      </c>
      <c r="C1473" s="82" t="s">
        <v>569</v>
      </c>
      <c r="D1473">
        <v>2018</v>
      </c>
      <c r="E1473" s="81">
        <v>34</v>
      </c>
      <c r="F1473" s="83">
        <v>27.7</v>
      </c>
      <c r="G1473" s="81">
        <v>16</v>
      </c>
      <c r="H1473" s="84">
        <v>11.3405</v>
      </c>
      <c r="I1473" s="83">
        <v>-7.2892000000000001</v>
      </c>
      <c r="J1473" s="84" t="s">
        <v>1</v>
      </c>
      <c r="K1473" s="81">
        <v>3.7</v>
      </c>
      <c r="L1473" s="84">
        <v>3</v>
      </c>
      <c r="M1473" s="84">
        <v>62</v>
      </c>
      <c r="N1473" s="85" t="s">
        <v>15</v>
      </c>
      <c r="O1473" s="86" t="s">
        <v>1260</v>
      </c>
    </row>
    <row r="1474" spans="1:15" ht="78.75" x14ac:dyDescent="0.25">
      <c r="A1474">
        <v>9819</v>
      </c>
      <c r="B1474" s="87">
        <v>2</v>
      </c>
      <c r="C1474" s="82" t="s">
        <v>569</v>
      </c>
      <c r="D1474">
        <v>2018</v>
      </c>
      <c r="E1474" s="87">
        <v>51</v>
      </c>
      <c r="F1474" s="88">
        <v>35.6</v>
      </c>
      <c r="G1474" s="87">
        <v>4</v>
      </c>
      <c r="H1474" s="89">
        <v>-35.584000000000003</v>
      </c>
      <c r="I1474" s="88">
        <v>29.802</v>
      </c>
      <c r="J1474" s="89" t="s">
        <v>1</v>
      </c>
      <c r="K1474" s="87">
        <v>4.5</v>
      </c>
      <c r="L1474" s="90">
        <v>4.0999999999999996</v>
      </c>
      <c r="M1474" s="89">
        <v>13</v>
      </c>
      <c r="N1474" s="91" t="s">
        <v>24</v>
      </c>
      <c r="O1474" s="92"/>
    </row>
    <row r="1475" spans="1:15" ht="47.25" x14ac:dyDescent="0.25">
      <c r="A1475">
        <v>9820</v>
      </c>
      <c r="B1475" s="81">
        <v>2</v>
      </c>
      <c r="C1475" s="82" t="s">
        <v>569</v>
      </c>
      <c r="D1475">
        <v>2018</v>
      </c>
      <c r="E1475" s="81">
        <v>27</v>
      </c>
      <c r="F1475" s="83">
        <v>19.52</v>
      </c>
      <c r="G1475" s="81">
        <v>9</v>
      </c>
      <c r="H1475" s="84">
        <v>23.862200000000001</v>
      </c>
      <c r="I1475" s="83">
        <v>-4.7458</v>
      </c>
      <c r="J1475" s="84" t="s">
        <v>1</v>
      </c>
      <c r="K1475" s="81">
        <v>3.4</v>
      </c>
      <c r="L1475" s="84">
        <v>4.2</v>
      </c>
      <c r="M1475" s="84">
        <v>145</v>
      </c>
      <c r="N1475" s="85" t="s">
        <v>15</v>
      </c>
      <c r="O1475" s="86" t="s">
        <v>1261</v>
      </c>
    </row>
    <row r="1476" spans="1:15" ht="47.25" x14ac:dyDescent="0.25">
      <c r="A1476">
        <v>9821</v>
      </c>
      <c r="B1476" s="81">
        <v>2</v>
      </c>
      <c r="C1476" s="82" t="s">
        <v>569</v>
      </c>
      <c r="D1476">
        <v>2018</v>
      </c>
      <c r="E1476" s="81">
        <v>46</v>
      </c>
      <c r="F1476" s="83">
        <v>8</v>
      </c>
      <c r="G1476" s="81">
        <v>11</v>
      </c>
      <c r="H1476" s="84">
        <v>6.9682000000000004</v>
      </c>
      <c r="I1476" s="83">
        <v>-5.6791999999999998</v>
      </c>
      <c r="J1476" s="84" t="s">
        <v>1</v>
      </c>
      <c r="K1476" s="81">
        <v>4.2</v>
      </c>
      <c r="L1476" s="84"/>
      <c r="M1476" s="84">
        <v>17</v>
      </c>
      <c r="N1476" s="85" t="s">
        <v>15</v>
      </c>
      <c r="O1476" s="86" t="s">
        <v>1262</v>
      </c>
    </row>
    <row r="1477" spans="1:15" ht="63" x14ac:dyDescent="0.25">
      <c r="A1477">
        <v>9822</v>
      </c>
      <c r="B1477" s="81">
        <v>2</v>
      </c>
      <c r="C1477" s="82" t="s">
        <v>569</v>
      </c>
      <c r="D1477">
        <v>2018</v>
      </c>
      <c r="E1477" s="81">
        <v>16</v>
      </c>
      <c r="F1477" s="83">
        <v>23.02</v>
      </c>
      <c r="G1477" s="81">
        <v>15</v>
      </c>
      <c r="H1477" s="84">
        <v>12.754300000000001</v>
      </c>
      <c r="I1477" s="83">
        <v>-8.6661999999999999</v>
      </c>
      <c r="J1477" s="84" t="s">
        <v>1</v>
      </c>
      <c r="K1477" s="81">
        <v>3.8</v>
      </c>
      <c r="L1477" s="84"/>
      <c r="M1477" s="84">
        <v>128</v>
      </c>
      <c r="N1477" s="85" t="s">
        <v>15</v>
      </c>
      <c r="O1477" s="86" t="s">
        <v>1263</v>
      </c>
    </row>
    <row r="1478" spans="1:15" ht="78.75" x14ac:dyDescent="0.25">
      <c r="A1478">
        <v>9823</v>
      </c>
      <c r="B1478" s="87">
        <v>3</v>
      </c>
      <c r="C1478" s="82" t="s">
        <v>569</v>
      </c>
      <c r="D1478">
        <v>2018</v>
      </c>
      <c r="E1478" s="87">
        <v>40</v>
      </c>
      <c r="F1478" s="88">
        <v>8.7200000000000006</v>
      </c>
      <c r="G1478" s="87">
        <v>4</v>
      </c>
      <c r="H1478" s="89">
        <v>-7.5320999999999998</v>
      </c>
      <c r="I1478" s="88">
        <v>38.187899999999999</v>
      </c>
      <c r="J1478" s="89" t="s">
        <v>1</v>
      </c>
      <c r="K1478" s="87">
        <v>4.4000000000000004</v>
      </c>
      <c r="L1478" s="90"/>
      <c r="M1478" s="89">
        <v>133</v>
      </c>
      <c r="N1478" s="91" t="s">
        <v>96</v>
      </c>
      <c r="O1478" s="92" t="s">
        <v>1264</v>
      </c>
    </row>
    <row r="1479" spans="1:15" ht="63" x14ac:dyDescent="0.25">
      <c r="A1479">
        <v>9824</v>
      </c>
      <c r="B1479" s="81">
        <v>3</v>
      </c>
      <c r="C1479" s="82" t="s">
        <v>569</v>
      </c>
      <c r="D1479">
        <v>2018</v>
      </c>
      <c r="E1479" s="81">
        <v>57</v>
      </c>
      <c r="F1479" s="83">
        <v>36.57</v>
      </c>
      <c r="G1479" s="81">
        <v>17</v>
      </c>
      <c r="H1479" s="84">
        <v>23.012</v>
      </c>
      <c r="I1479" s="83">
        <v>-11.4945</v>
      </c>
      <c r="J1479" s="84" t="s">
        <v>1</v>
      </c>
      <c r="K1479" s="81">
        <v>3.6</v>
      </c>
      <c r="L1479" s="84">
        <v>3.7</v>
      </c>
      <c r="M1479" s="84">
        <v>85</v>
      </c>
      <c r="N1479" s="85" t="s">
        <v>15</v>
      </c>
      <c r="O1479" s="86" t="s">
        <v>1034</v>
      </c>
    </row>
    <row r="1480" spans="1:15" ht="47.25" x14ac:dyDescent="0.25">
      <c r="A1480">
        <v>9825</v>
      </c>
      <c r="B1480" s="87">
        <v>3</v>
      </c>
      <c r="C1480" s="82" t="s">
        <v>569</v>
      </c>
      <c r="D1480">
        <v>2018</v>
      </c>
      <c r="E1480" s="87">
        <v>54</v>
      </c>
      <c r="F1480" s="88">
        <v>18.68</v>
      </c>
      <c r="G1480" s="87">
        <v>23</v>
      </c>
      <c r="H1480" s="89">
        <v>3.96</v>
      </c>
      <c r="I1480" s="88">
        <v>29.273199999999999</v>
      </c>
      <c r="J1480" s="89" t="s">
        <v>1</v>
      </c>
      <c r="K1480" s="87">
        <v>3.4</v>
      </c>
      <c r="L1480" s="90">
        <v>3</v>
      </c>
      <c r="M1480" s="89">
        <v>149</v>
      </c>
      <c r="N1480" s="91" t="s">
        <v>72</v>
      </c>
      <c r="O1480" s="92" t="s">
        <v>910</v>
      </c>
    </row>
    <row r="1481" spans="1:15" ht="47.25" x14ac:dyDescent="0.25">
      <c r="A1481">
        <v>9826</v>
      </c>
      <c r="B1481" s="87">
        <v>4</v>
      </c>
      <c r="C1481" s="82" t="s">
        <v>569</v>
      </c>
      <c r="D1481">
        <v>2018</v>
      </c>
      <c r="E1481" s="87">
        <v>25</v>
      </c>
      <c r="F1481" s="88">
        <v>37.979999999999997</v>
      </c>
      <c r="G1481" s="87">
        <v>7</v>
      </c>
      <c r="H1481" s="89">
        <v>32.000700000000002</v>
      </c>
      <c r="I1481" s="88">
        <v>-8.2909000000000006</v>
      </c>
      <c r="J1481" s="89" t="s">
        <v>1</v>
      </c>
      <c r="K1481" s="87">
        <v>3.8</v>
      </c>
      <c r="L1481" s="90"/>
      <c r="M1481" s="89">
        <v>70</v>
      </c>
      <c r="N1481" s="91" t="s">
        <v>1265</v>
      </c>
      <c r="O1481" s="92" t="s">
        <v>1266</v>
      </c>
    </row>
    <row r="1482" spans="1:15" ht="31.5" x14ac:dyDescent="0.25">
      <c r="A1482">
        <v>9827</v>
      </c>
      <c r="B1482" s="87">
        <v>4</v>
      </c>
      <c r="C1482" s="82" t="s">
        <v>569</v>
      </c>
      <c r="D1482">
        <v>2018</v>
      </c>
      <c r="E1482" s="87">
        <v>56</v>
      </c>
      <c r="F1482" s="88">
        <v>16.48</v>
      </c>
      <c r="G1482" s="87">
        <v>10</v>
      </c>
      <c r="H1482" s="89">
        <v>-13.112</v>
      </c>
      <c r="I1482" s="88">
        <v>31.807500000000001</v>
      </c>
      <c r="J1482" s="89" t="s">
        <v>1</v>
      </c>
      <c r="K1482" s="87">
        <v>4</v>
      </c>
      <c r="L1482" s="90">
        <v>3.2</v>
      </c>
      <c r="M1482" s="89">
        <v>125</v>
      </c>
      <c r="N1482" s="91" t="s">
        <v>82</v>
      </c>
      <c r="O1482" s="92" t="s">
        <v>1267</v>
      </c>
    </row>
    <row r="1483" spans="1:15" ht="47.25" x14ac:dyDescent="0.25">
      <c r="A1483">
        <v>9828</v>
      </c>
      <c r="B1483" s="81">
        <v>4</v>
      </c>
      <c r="C1483" s="82" t="s">
        <v>569</v>
      </c>
      <c r="D1483">
        <v>2018</v>
      </c>
      <c r="E1483" s="81">
        <v>51</v>
      </c>
      <c r="F1483" s="83">
        <v>35.26</v>
      </c>
      <c r="G1483" s="81">
        <v>12</v>
      </c>
      <c r="H1483" s="84">
        <v>6.2706999999999997</v>
      </c>
      <c r="I1483" s="83">
        <v>-6.2275</v>
      </c>
      <c r="J1483" s="84" t="s">
        <v>1</v>
      </c>
      <c r="K1483" s="81">
        <v>3.8</v>
      </c>
      <c r="L1483" s="84"/>
      <c r="M1483" s="84">
        <v>162</v>
      </c>
      <c r="N1483" s="85" t="s">
        <v>15</v>
      </c>
      <c r="O1483" s="86" t="s">
        <v>1268</v>
      </c>
    </row>
    <row r="1484" spans="1:15" ht="47.25" x14ac:dyDescent="0.25">
      <c r="A1484">
        <v>9829</v>
      </c>
      <c r="B1484" s="87">
        <v>5</v>
      </c>
      <c r="C1484" s="82" t="s">
        <v>569</v>
      </c>
      <c r="D1484">
        <v>2018</v>
      </c>
      <c r="E1484" s="87">
        <v>12</v>
      </c>
      <c r="F1484" s="88">
        <v>44.64</v>
      </c>
      <c r="G1484" s="87">
        <v>5</v>
      </c>
      <c r="H1484" s="89">
        <v>33.634900000000002</v>
      </c>
      <c r="I1484" s="88">
        <v>10.684200000000001</v>
      </c>
      <c r="J1484" s="89" t="s">
        <v>1</v>
      </c>
      <c r="K1484" s="87">
        <v>4.0999999999999996</v>
      </c>
      <c r="L1484" s="90"/>
      <c r="M1484" s="89">
        <v>128</v>
      </c>
      <c r="N1484" s="91" t="s">
        <v>2</v>
      </c>
      <c r="O1484" s="92" t="s">
        <v>1269</v>
      </c>
    </row>
    <row r="1485" spans="1:15" ht="47.25" x14ac:dyDescent="0.25">
      <c r="A1485">
        <v>9830</v>
      </c>
      <c r="B1485" s="81">
        <v>5</v>
      </c>
      <c r="C1485" s="82" t="s">
        <v>569</v>
      </c>
      <c r="D1485">
        <v>2018</v>
      </c>
      <c r="E1485" s="81">
        <v>29</v>
      </c>
      <c r="F1485" s="83">
        <v>1.24</v>
      </c>
      <c r="G1485" s="81">
        <v>5</v>
      </c>
      <c r="H1485" s="84">
        <v>9.4179999999999993</v>
      </c>
      <c r="I1485" s="83">
        <v>-7.2643000000000004</v>
      </c>
      <c r="J1485" s="84" t="s">
        <v>1</v>
      </c>
      <c r="K1485" s="81">
        <v>4</v>
      </c>
      <c r="L1485" s="84"/>
      <c r="M1485" s="84">
        <v>118</v>
      </c>
      <c r="N1485" s="85" t="s">
        <v>15</v>
      </c>
      <c r="O1485" s="86" t="s">
        <v>1270</v>
      </c>
    </row>
    <row r="1486" spans="1:15" ht="47.25" x14ac:dyDescent="0.25">
      <c r="A1486">
        <v>9831</v>
      </c>
      <c r="B1486" s="87">
        <v>5</v>
      </c>
      <c r="C1486" s="82" t="s">
        <v>569</v>
      </c>
      <c r="D1486">
        <v>2018</v>
      </c>
      <c r="E1486" s="87">
        <v>16</v>
      </c>
      <c r="F1486" s="88">
        <v>59.11</v>
      </c>
      <c r="G1486" s="87">
        <v>22</v>
      </c>
      <c r="H1486" s="89">
        <v>-6.3228999999999997</v>
      </c>
      <c r="I1486" s="88">
        <v>35.5717</v>
      </c>
      <c r="J1486" s="89" t="s">
        <v>1</v>
      </c>
      <c r="K1486" s="87">
        <v>4</v>
      </c>
      <c r="L1486" s="90"/>
      <c r="M1486" s="89">
        <v>124</v>
      </c>
      <c r="N1486" s="91" t="s">
        <v>96</v>
      </c>
      <c r="O1486" s="92" t="s">
        <v>1271</v>
      </c>
    </row>
    <row r="1487" spans="1:15" ht="47.25" x14ac:dyDescent="0.25">
      <c r="A1487">
        <v>9832</v>
      </c>
      <c r="B1487" s="81">
        <v>6</v>
      </c>
      <c r="C1487" s="82" t="s">
        <v>569</v>
      </c>
      <c r="D1487">
        <v>2018</v>
      </c>
      <c r="E1487" s="81">
        <v>1</v>
      </c>
      <c r="F1487" s="83">
        <v>18.53</v>
      </c>
      <c r="G1487" s="81">
        <v>3</v>
      </c>
      <c r="H1487" s="84">
        <v>4.7881999999999998</v>
      </c>
      <c r="I1487" s="83">
        <v>-10.8581</v>
      </c>
      <c r="J1487" s="84" t="s">
        <v>1</v>
      </c>
      <c r="K1487" s="81">
        <v>3.4</v>
      </c>
      <c r="L1487" s="84"/>
      <c r="M1487" s="84">
        <v>164</v>
      </c>
      <c r="N1487" s="85" t="s">
        <v>15</v>
      </c>
      <c r="O1487" s="86" t="s">
        <v>665</v>
      </c>
    </row>
    <row r="1488" spans="1:15" ht="47.25" x14ac:dyDescent="0.25">
      <c r="A1488">
        <v>9833</v>
      </c>
      <c r="B1488" s="81">
        <v>6</v>
      </c>
      <c r="C1488" s="82" t="s">
        <v>569</v>
      </c>
      <c r="D1488">
        <v>2018</v>
      </c>
      <c r="E1488" s="81">
        <v>51</v>
      </c>
      <c r="F1488" s="83">
        <v>8.32</v>
      </c>
      <c r="G1488" s="81">
        <v>4</v>
      </c>
      <c r="H1488" s="84">
        <v>6.6492000000000004</v>
      </c>
      <c r="I1488" s="83">
        <v>-4.835</v>
      </c>
      <c r="J1488" s="84" t="s">
        <v>1</v>
      </c>
      <c r="K1488" s="81">
        <v>4.4000000000000004</v>
      </c>
      <c r="L1488" s="84"/>
      <c r="M1488" s="84">
        <v>134</v>
      </c>
      <c r="N1488" s="85" t="s">
        <v>15</v>
      </c>
      <c r="O1488" s="86" t="s">
        <v>288</v>
      </c>
    </row>
    <row r="1489" spans="1:15" ht="31.5" x14ac:dyDescent="0.25">
      <c r="A1489">
        <v>9834</v>
      </c>
      <c r="B1489" s="87">
        <v>6</v>
      </c>
      <c r="C1489" s="82" t="s">
        <v>569</v>
      </c>
      <c r="D1489">
        <v>2018</v>
      </c>
      <c r="E1489" s="87">
        <v>39</v>
      </c>
      <c r="F1489" s="88">
        <v>38.86</v>
      </c>
      <c r="G1489" s="87">
        <v>14</v>
      </c>
      <c r="H1489" s="89">
        <v>31.747699999999998</v>
      </c>
      <c r="I1489" s="88">
        <v>9.4194999999999993</v>
      </c>
      <c r="J1489" s="89" t="s">
        <v>1</v>
      </c>
      <c r="K1489" s="87">
        <v>3.9</v>
      </c>
      <c r="L1489" s="90">
        <v>3</v>
      </c>
      <c r="M1489" s="89">
        <v>105</v>
      </c>
      <c r="N1489" s="91" t="s">
        <v>2</v>
      </c>
      <c r="O1489" s="92" t="s">
        <v>1272</v>
      </c>
    </row>
    <row r="1490" spans="1:15" ht="94.5" x14ac:dyDescent="0.25">
      <c r="A1490">
        <v>9835</v>
      </c>
      <c r="B1490" s="87">
        <v>7</v>
      </c>
      <c r="C1490" s="82" t="s">
        <v>569</v>
      </c>
      <c r="D1490">
        <v>2018</v>
      </c>
      <c r="E1490" s="87">
        <v>6</v>
      </c>
      <c r="F1490" s="88">
        <v>47.46</v>
      </c>
      <c r="G1490" s="87">
        <v>5</v>
      </c>
      <c r="H1490" s="89">
        <v>9.9298000000000002</v>
      </c>
      <c r="I1490" s="88">
        <v>-16.786799999999999</v>
      </c>
      <c r="J1490" s="89" t="s">
        <v>1</v>
      </c>
      <c r="K1490" s="87">
        <v>3.8</v>
      </c>
      <c r="L1490" s="90">
        <v>3</v>
      </c>
      <c r="M1490" s="89">
        <v>13</v>
      </c>
      <c r="N1490" s="91" t="s">
        <v>154</v>
      </c>
      <c r="O1490" s="92" t="s">
        <v>1273</v>
      </c>
    </row>
    <row r="1491" spans="1:15" ht="47.25" x14ac:dyDescent="0.25">
      <c r="A1491">
        <v>9836</v>
      </c>
      <c r="B1491" s="87">
        <v>7</v>
      </c>
      <c r="C1491" s="82" t="s">
        <v>569</v>
      </c>
      <c r="D1491">
        <v>2018</v>
      </c>
      <c r="E1491" s="87">
        <v>29</v>
      </c>
      <c r="F1491" s="88">
        <v>10.17</v>
      </c>
      <c r="G1491" s="87">
        <v>10</v>
      </c>
      <c r="H1491" s="89">
        <v>13.462300000000001</v>
      </c>
      <c r="I1491" s="88">
        <v>1.5139</v>
      </c>
      <c r="J1491" s="89" t="s">
        <v>1</v>
      </c>
      <c r="K1491" s="87">
        <v>4.2</v>
      </c>
      <c r="L1491" s="90"/>
      <c r="M1491" s="89">
        <v>78</v>
      </c>
      <c r="N1491" s="91" t="s">
        <v>15</v>
      </c>
      <c r="O1491" s="92" t="s">
        <v>1188</v>
      </c>
    </row>
    <row r="1492" spans="1:15" ht="31.5" x14ac:dyDescent="0.25">
      <c r="A1492">
        <v>9837</v>
      </c>
      <c r="B1492" s="87">
        <v>7</v>
      </c>
      <c r="C1492" s="82" t="s">
        <v>569</v>
      </c>
      <c r="D1492">
        <v>2018</v>
      </c>
      <c r="E1492" s="87">
        <v>40</v>
      </c>
      <c r="F1492" s="88">
        <v>58.39</v>
      </c>
      <c r="G1492" s="87">
        <v>10</v>
      </c>
      <c r="H1492" s="89">
        <v>34.415399999999998</v>
      </c>
      <c r="I1492" s="88">
        <v>10.665800000000001</v>
      </c>
      <c r="J1492" s="89" t="s">
        <v>1</v>
      </c>
      <c r="K1492" s="87">
        <v>4.2</v>
      </c>
      <c r="L1492" s="90"/>
      <c r="M1492" s="89">
        <v>33</v>
      </c>
      <c r="N1492" s="91" t="s">
        <v>2</v>
      </c>
      <c r="O1492" s="92" t="s">
        <v>1274</v>
      </c>
    </row>
    <row r="1493" spans="1:15" ht="94.5" x14ac:dyDescent="0.25">
      <c r="A1493">
        <v>9838</v>
      </c>
      <c r="B1493" s="87">
        <v>7</v>
      </c>
      <c r="C1493" s="82" t="s">
        <v>569</v>
      </c>
      <c r="D1493">
        <v>2018</v>
      </c>
      <c r="E1493" s="87">
        <v>43</v>
      </c>
      <c r="F1493" s="88">
        <v>50.24</v>
      </c>
      <c r="G1493" s="87">
        <v>23</v>
      </c>
      <c r="H1493" s="89">
        <v>-29.1279</v>
      </c>
      <c r="I1493" s="88">
        <v>20.962399999999999</v>
      </c>
      <c r="J1493" s="89" t="s">
        <v>1</v>
      </c>
      <c r="K1493" s="87">
        <v>4.0999999999999996</v>
      </c>
      <c r="L1493" s="90">
        <v>2.4</v>
      </c>
      <c r="M1493" s="89">
        <v>177</v>
      </c>
      <c r="N1493" s="91" t="s">
        <v>6</v>
      </c>
      <c r="O1493" s="92" t="s">
        <v>1275</v>
      </c>
    </row>
    <row r="1494" spans="1:15" ht="31.5" x14ac:dyDescent="0.25">
      <c r="A1494">
        <v>9839</v>
      </c>
      <c r="B1494" s="87">
        <v>8</v>
      </c>
      <c r="C1494" s="82" t="s">
        <v>569</v>
      </c>
      <c r="D1494">
        <v>2018</v>
      </c>
      <c r="E1494" s="87">
        <v>55</v>
      </c>
      <c r="F1494" s="88">
        <v>55.97</v>
      </c>
      <c r="G1494" s="87">
        <v>4</v>
      </c>
      <c r="H1494" s="89">
        <v>31.053599999999999</v>
      </c>
      <c r="I1494" s="88">
        <v>27.260899999999999</v>
      </c>
      <c r="J1494" s="89" t="s">
        <v>1</v>
      </c>
      <c r="K1494" s="87">
        <v>3.7</v>
      </c>
      <c r="L1494" s="90">
        <v>3.6</v>
      </c>
      <c r="M1494" s="89">
        <v>154</v>
      </c>
      <c r="N1494" s="91" t="s">
        <v>72</v>
      </c>
      <c r="O1494" s="92" t="s">
        <v>1276</v>
      </c>
    </row>
    <row r="1495" spans="1:15" ht="47.25" x14ac:dyDescent="0.25">
      <c r="A1495">
        <v>9840</v>
      </c>
      <c r="B1495" s="87">
        <v>8</v>
      </c>
      <c r="C1495" s="82" t="s">
        <v>569</v>
      </c>
      <c r="D1495">
        <v>2018</v>
      </c>
      <c r="E1495" s="87">
        <v>22</v>
      </c>
      <c r="F1495" s="88">
        <v>1.28</v>
      </c>
      <c r="G1495" s="87">
        <v>5</v>
      </c>
      <c r="H1495" s="89">
        <v>29.205200000000001</v>
      </c>
      <c r="I1495" s="88">
        <v>12.3592</v>
      </c>
      <c r="J1495" s="89" t="s">
        <v>1</v>
      </c>
      <c r="K1495" s="87">
        <v>4.3</v>
      </c>
      <c r="L1495" s="90">
        <v>3.6</v>
      </c>
      <c r="M1495" s="89">
        <v>39</v>
      </c>
      <c r="N1495" s="91" t="s">
        <v>48</v>
      </c>
      <c r="O1495" s="92" t="s">
        <v>1277</v>
      </c>
    </row>
    <row r="1496" spans="1:15" ht="47.25" x14ac:dyDescent="0.25">
      <c r="A1496">
        <v>9841</v>
      </c>
      <c r="B1496" s="81">
        <v>8</v>
      </c>
      <c r="C1496" s="82" t="s">
        <v>569</v>
      </c>
      <c r="D1496">
        <v>2018</v>
      </c>
      <c r="E1496" s="81">
        <v>43</v>
      </c>
      <c r="F1496" s="83">
        <v>8.81</v>
      </c>
      <c r="G1496" s="81">
        <v>5</v>
      </c>
      <c r="H1496" s="84">
        <v>6.0796000000000001</v>
      </c>
      <c r="I1496" s="83">
        <v>-3.5901999999999998</v>
      </c>
      <c r="J1496" s="84" t="s">
        <v>1</v>
      </c>
      <c r="K1496" s="81">
        <v>3.8</v>
      </c>
      <c r="L1496" s="84"/>
      <c r="M1496" s="84">
        <v>1</v>
      </c>
      <c r="N1496" s="85" t="s">
        <v>15</v>
      </c>
      <c r="O1496" s="86" t="s">
        <v>1278</v>
      </c>
    </row>
    <row r="1497" spans="1:15" ht="47.25" x14ac:dyDescent="0.25">
      <c r="A1497">
        <v>9842</v>
      </c>
      <c r="B1497" s="87">
        <v>8</v>
      </c>
      <c r="C1497" s="82" t="s">
        <v>569</v>
      </c>
      <c r="D1497">
        <v>2018</v>
      </c>
      <c r="E1497" s="87">
        <v>49</v>
      </c>
      <c r="F1497" s="88">
        <v>43.6</v>
      </c>
      <c r="G1497" s="87">
        <v>8</v>
      </c>
      <c r="H1497" s="89">
        <v>-16.709099999999999</v>
      </c>
      <c r="I1497" s="88">
        <v>35.528599999999997</v>
      </c>
      <c r="J1497" s="89" t="s">
        <v>1</v>
      </c>
      <c r="K1497" s="87">
        <v>5.0999999999999996</v>
      </c>
      <c r="L1497" s="90"/>
      <c r="M1497" s="89">
        <v>90</v>
      </c>
      <c r="N1497" s="91" t="s">
        <v>266</v>
      </c>
      <c r="O1497" s="92" t="s">
        <v>1279</v>
      </c>
    </row>
    <row r="1498" spans="1:15" ht="47.25" x14ac:dyDescent="0.25">
      <c r="A1498">
        <v>9843</v>
      </c>
      <c r="B1498" s="87">
        <v>8</v>
      </c>
      <c r="C1498" s="82" t="s">
        <v>569</v>
      </c>
      <c r="D1498">
        <v>2018</v>
      </c>
      <c r="E1498" s="87">
        <v>53</v>
      </c>
      <c r="F1498" s="88">
        <v>32.4</v>
      </c>
      <c r="G1498" s="87">
        <v>8</v>
      </c>
      <c r="H1498" s="89">
        <v>-19.54</v>
      </c>
      <c r="I1498" s="88">
        <v>31.379300000000001</v>
      </c>
      <c r="J1498" s="89"/>
      <c r="K1498" s="87">
        <v>4.7</v>
      </c>
      <c r="L1498" s="90">
        <v>5.3</v>
      </c>
      <c r="M1498" s="89">
        <v>75</v>
      </c>
      <c r="N1498" s="91" t="s">
        <v>237</v>
      </c>
      <c r="O1498" s="92" t="s">
        <v>1280</v>
      </c>
    </row>
    <row r="1499" spans="1:15" ht="63" x14ac:dyDescent="0.25">
      <c r="A1499">
        <v>9844</v>
      </c>
      <c r="B1499" s="87">
        <v>8</v>
      </c>
      <c r="C1499" s="82" t="s">
        <v>569</v>
      </c>
      <c r="D1499">
        <v>2018</v>
      </c>
      <c r="E1499" s="87">
        <v>52</v>
      </c>
      <c r="F1499" s="88">
        <v>3.4</v>
      </c>
      <c r="G1499" s="87">
        <v>9</v>
      </c>
      <c r="H1499" s="89">
        <v>-16.7607</v>
      </c>
      <c r="I1499" s="88">
        <v>35.496400000000001</v>
      </c>
      <c r="J1499" s="89" t="s">
        <v>1</v>
      </c>
      <c r="K1499" s="87">
        <v>4.5999999999999996</v>
      </c>
      <c r="L1499" s="90">
        <v>4.9000000000000004</v>
      </c>
      <c r="M1499" s="89">
        <v>106</v>
      </c>
      <c r="N1499" s="91" t="s">
        <v>266</v>
      </c>
      <c r="O1499" s="92" t="s">
        <v>1281</v>
      </c>
    </row>
    <row r="1500" spans="1:15" ht="47.25" x14ac:dyDescent="0.25">
      <c r="A1500">
        <v>9845</v>
      </c>
      <c r="B1500" s="87">
        <v>8</v>
      </c>
      <c r="C1500" s="82" t="s">
        <v>569</v>
      </c>
      <c r="D1500">
        <v>2018</v>
      </c>
      <c r="E1500" s="87">
        <v>42</v>
      </c>
      <c r="F1500" s="88">
        <v>39.590000000000003</v>
      </c>
      <c r="G1500" s="87">
        <v>16</v>
      </c>
      <c r="H1500" s="89">
        <v>37.187399999999997</v>
      </c>
      <c r="I1500" s="88">
        <v>10.273899999999999</v>
      </c>
      <c r="J1500" s="89" t="s">
        <v>1</v>
      </c>
      <c r="K1500" s="87">
        <v>3.9</v>
      </c>
      <c r="L1500" s="90">
        <v>4.3</v>
      </c>
      <c r="M1500" s="89">
        <v>149</v>
      </c>
      <c r="N1500" s="91" t="s">
        <v>2</v>
      </c>
      <c r="O1500" s="92" t="s">
        <v>959</v>
      </c>
    </row>
    <row r="1501" spans="1:15" ht="47.25" x14ac:dyDescent="0.25">
      <c r="A1501">
        <v>9846</v>
      </c>
      <c r="B1501" s="87">
        <v>8</v>
      </c>
      <c r="C1501" s="82" t="s">
        <v>569</v>
      </c>
      <c r="D1501">
        <v>2018</v>
      </c>
      <c r="E1501" s="87">
        <v>42</v>
      </c>
      <c r="F1501" s="88">
        <v>46.26</v>
      </c>
      <c r="G1501" s="87">
        <v>16</v>
      </c>
      <c r="H1501" s="89">
        <v>33.907699999999998</v>
      </c>
      <c r="I1501" s="88">
        <v>10.175000000000001</v>
      </c>
      <c r="J1501" s="89" t="s">
        <v>1</v>
      </c>
      <c r="K1501" s="87">
        <v>3.7</v>
      </c>
      <c r="L1501" s="90">
        <v>4.4000000000000004</v>
      </c>
      <c r="M1501" s="89">
        <v>28</v>
      </c>
      <c r="N1501" s="91" t="s">
        <v>2</v>
      </c>
      <c r="O1501" s="92" t="s">
        <v>959</v>
      </c>
    </row>
    <row r="1502" spans="1:15" ht="78.75" x14ac:dyDescent="0.25">
      <c r="A1502">
        <v>9847</v>
      </c>
      <c r="B1502" s="87">
        <v>9</v>
      </c>
      <c r="C1502" s="82" t="s">
        <v>569</v>
      </c>
      <c r="D1502">
        <v>2018</v>
      </c>
      <c r="E1502" s="87">
        <v>24</v>
      </c>
      <c r="F1502" s="88">
        <v>47.32</v>
      </c>
      <c r="G1502" s="87">
        <v>11</v>
      </c>
      <c r="H1502" s="89">
        <v>-34.002099999999999</v>
      </c>
      <c r="I1502" s="88">
        <v>30.883700000000001</v>
      </c>
      <c r="J1502" s="89" t="s">
        <v>1</v>
      </c>
      <c r="K1502" s="87">
        <v>4.5</v>
      </c>
      <c r="L1502" s="90"/>
      <c r="M1502" s="89">
        <v>62</v>
      </c>
      <c r="N1502" s="91" t="s">
        <v>24</v>
      </c>
      <c r="O1502" s="92"/>
    </row>
    <row r="1503" spans="1:15" ht="110.25" x14ac:dyDescent="0.25">
      <c r="A1503">
        <v>9848</v>
      </c>
      <c r="B1503" s="87">
        <v>9</v>
      </c>
      <c r="C1503" s="82" t="s">
        <v>569</v>
      </c>
      <c r="D1503">
        <v>2018</v>
      </c>
      <c r="E1503" s="87">
        <v>13</v>
      </c>
      <c r="F1503" s="88">
        <v>1.81</v>
      </c>
      <c r="G1503" s="87">
        <v>17</v>
      </c>
      <c r="H1503" s="89">
        <v>-9.7369000000000003</v>
      </c>
      <c r="I1503" s="88">
        <v>23.07</v>
      </c>
      <c r="J1503" s="89" t="s">
        <v>1</v>
      </c>
      <c r="K1503" s="87">
        <v>4.3</v>
      </c>
      <c r="L1503" s="90"/>
      <c r="M1503" s="89">
        <v>107</v>
      </c>
      <c r="N1503" s="91" t="s">
        <v>8</v>
      </c>
      <c r="O1503" s="92" t="s">
        <v>1282</v>
      </c>
    </row>
    <row r="1504" spans="1:15" ht="78.75" x14ac:dyDescent="0.25">
      <c r="A1504">
        <v>9849</v>
      </c>
      <c r="B1504" s="81">
        <v>9</v>
      </c>
      <c r="C1504" s="82" t="s">
        <v>569</v>
      </c>
      <c r="D1504">
        <v>2018</v>
      </c>
      <c r="E1504" s="81">
        <v>23</v>
      </c>
      <c r="F1504" s="83">
        <v>47.3</v>
      </c>
      <c r="G1504" s="81">
        <v>17</v>
      </c>
      <c r="H1504" s="84">
        <v>27.4648</v>
      </c>
      <c r="I1504" s="83">
        <v>-11.189500000000001</v>
      </c>
      <c r="J1504" s="84" t="s">
        <v>1</v>
      </c>
      <c r="K1504" s="81">
        <v>3.8</v>
      </c>
      <c r="L1504" s="84"/>
      <c r="M1504" s="84">
        <v>69</v>
      </c>
      <c r="N1504" s="85" t="s">
        <v>15</v>
      </c>
      <c r="O1504" s="86" t="s">
        <v>1283</v>
      </c>
    </row>
    <row r="1505" spans="1:15" ht="63" x14ac:dyDescent="0.25">
      <c r="A1505">
        <v>9850</v>
      </c>
      <c r="B1505" s="81">
        <v>9</v>
      </c>
      <c r="C1505" s="82" t="s">
        <v>569</v>
      </c>
      <c r="D1505">
        <v>2018</v>
      </c>
      <c r="E1505" s="81">
        <v>20</v>
      </c>
      <c r="F1505" s="83">
        <v>26.06</v>
      </c>
      <c r="G1505" s="81">
        <v>18</v>
      </c>
      <c r="H1505" s="84">
        <v>32.267899999999997</v>
      </c>
      <c r="I1505" s="83">
        <v>-0.89959999999999996</v>
      </c>
      <c r="J1505" s="84" t="s">
        <v>1</v>
      </c>
      <c r="K1505" s="81">
        <v>3.8</v>
      </c>
      <c r="L1505" s="84">
        <v>2.7</v>
      </c>
      <c r="M1505" s="84">
        <v>153</v>
      </c>
      <c r="N1505" s="85" t="s">
        <v>10</v>
      </c>
      <c r="O1505" s="86" t="s">
        <v>1284</v>
      </c>
    </row>
    <row r="1506" spans="1:15" ht="47.25" x14ac:dyDescent="0.25">
      <c r="A1506">
        <v>9851</v>
      </c>
      <c r="B1506" s="81">
        <v>10</v>
      </c>
      <c r="C1506" s="82" t="s">
        <v>569</v>
      </c>
      <c r="D1506">
        <v>2018</v>
      </c>
      <c r="E1506" s="81">
        <v>42</v>
      </c>
      <c r="F1506" s="83">
        <v>37.049999999999997</v>
      </c>
      <c r="G1506" s="81">
        <v>5</v>
      </c>
      <c r="H1506" s="84">
        <v>5.2777000000000003</v>
      </c>
      <c r="I1506" s="83">
        <v>-5.0749000000000004</v>
      </c>
      <c r="J1506" s="84" t="s">
        <v>1</v>
      </c>
      <c r="K1506" s="81">
        <v>4</v>
      </c>
      <c r="L1506" s="84"/>
      <c r="M1506" s="84">
        <v>114</v>
      </c>
      <c r="N1506" s="85" t="s">
        <v>15</v>
      </c>
      <c r="O1506" s="86" t="s">
        <v>1285</v>
      </c>
    </row>
    <row r="1507" spans="1:15" ht="78.75" x14ac:dyDescent="0.25">
      <c r="A1507">
        <v>9852</v>
      </c>
      <c r="B1507" s="87">
        <v>10</v>
      </c>
      <c r="C1507" s="82" t="s">
        <v>569</v>
      </c>
      <c r="D1507">
        <v>2018</v>
      </c>
      <c r="E1507" s="87">
        <v>38</v>
      </c>
      <c r="F1507" s="88">
        <v>57.38</v>
      </c>
      <c r="G1507" s="87">
        <v>15</v>
      </c>
      <c r="H1507" s="89">
        <v>-27.332799999999999</v>
      </c>
      <c r="I1507" s="88">
        <v>25.5062</v>
      </c>
      <c r="J1507" s="89" t="s">
        <v>1</v>
      </c>
      <c r="K1507" s="87">
        <v>4.2</v>
      </c>
      <c r="L1507" s="90"/>
      <c r="M1507" s="89">
        <v>98</v>
      </c>
      <c r="N1507" s="91" t="s">
        <v>6</v>
      </c>
      <c r="O1507" s="92" t="s">
        <v>1286</v>
      </c>
    </row>
    <row r="1508" spans="1:15" ht="47.25" x14ac:dyDescent="0.25">
      <c r="A1508">
        <v>9853</v>
      </c>
      <c r="B1508" s="81">
        <v>11</v>
      </c>
      <c r="C1508" s="82" t="s">
        <v>569</v>
      </c>
      <c r="D1508">
        <v>2018</v>
      </c>
      <c r="E1508" s="81">
        <v>20</v>
      </c>
      <c r="F1508" s="83">
        <v>27.75</v>
      </c>
      <c r="G1508" s="81">
        <v>8</v>
      </c>
      <c r="H1508" s="84">
        <v>11.349399999999999</v>
      </c>
      <c r="I1508" s="83">
        <v>8.5409000000000006</v>
      </c>
      <c r="J1508" s="84" t="s">
        <v>1</v>
      </c>
      <c r="K1508" s="81">
        <v>4.2</v>
      </c>
      <c r="L1508" s="84"/>
      <c r="M1508" s="84">
        <v>113</v>
      </c>
      <c r="N1508" s="85" t="s">
        <v>15</v>
      </c>
      <c r="O1508" s="86" t="s">
        <v>1287</v>
      </c>
    </row>
    <row r="1509" spans="1:15" ht="63" x14ac:dyDescent="0.25">
      <c r="A1509">
        <v>9854</v>
      </c>
      <c r="B1509" s="87">
        <v>11</v>
      </c>
      <c r="C1509" s="82" t="s">
        <v>569</v>
      </c>
      <c r="D1509">
        <v>2018</v>
      </c>
      <c r="E1509" s="87">
        <v>42</v>
      </c>
      <c r="F1509" s="88">
        <v>53.31</v>
      </c>
      <c r="G1509" s="87">
        <v>19</v>
      </c>
      <c r="H1509" s="89">
        <v>-26.131799999999998</v>
      </c>
      <c r="I1509" s="88">
        <v>27.2361</v>
      </c>
      <c r="J1509" s="89" t="s">
        <v>1</v>
      </c>
      <c r="K1509" s="87">
        <v>4.0999999999999996</v>
      </c>
      <c r="L1509" s="90">
        <v>3</v>
      </c>
      <c r="M1509" s="89">
        <v>121</v>
      </c>
      <c r="N1509" s="91" t="s">
        <v>6</v>
      </c>
      <c r="O1509" s="92" t="s">
        <v>1288</v>
      </c>
    </row>
    <row r="1510" spans="1:15" ht="63" x14ac:dyDescent="0.25">
      <c r="A1510">
        <v>9855</v>
      </c>
      <c r="B1510" s="87">
        <v>12</v>
      </c>
      <c r="C1510" s="82" t="s">
        <v>569</v>
      </c>
      <c r="D1510">
        <v>2018</v>
      </c>
      <c r="E1510" s="87">
        <v>48</v>
      </c>
      <c r="F1510" s="88">
        <v>53.27</v>
      </c>
      <c r="G1510" s="87">
        <v>2</v>
      </c>
      <c r="H1510" s="89">
        <v>28.363</v>
      </c>
      <c r="I1510" s="88">
        <v>4.1573000000000002</v>
      </c>
      <c r="J1510" s="89" t="s">
        <v>1</v>
      </c>
      <c r="K1510" s="87">
        <v>3.9</v>
      </c>
      <c r="L1510" s="90"/>
      <c r="M1510" s="89">
        <v>147</v>
      </c>
      <c r="N1510" s="91" t="s">
        <v>10</v>
      </c>
      <c r="O1510" s="92" t="s">
        <v>1289</v>
      </c>
    </row>
    <row r="1511" spans="1:15" ht="47.25" x14ac:dyDescent="0.25">
      <c r="A1511">
        <v>9856</v>
      </c>
      <c r="B1511" s="81">
        <v>12</v>
      </c>
      <c r="C1511" s="82" t="s">
        <v>569</v>
      </c>
      <c r="D1511">
        <v>2018</v>
      </c>
      <c r="E1511" s="81">
        <v>38</v>
      </c>
      <c r="F1511" s="83">
        <v>23.97</v>
      </c>
      <c r="G1511" s="81">
        <v>5</v>
      </c>
      <c r="H1511" s="84">
        <v>13.044499999999999</v>
      </c>
      <c r="I1511" s="83">
        <v>1.169</v>
      </c>
      <c r="J1511" s="84" t="s">
        <v>1</v>
      </c>
      <c r="K1511" s="81">
        <v>4.0999999999999996</v>
      </c>
      <c r="L1511" s="84"/>
      <c r="M1511" s="84">
        <v>167</v>
      </c>
      <c r="N1511" s="85" t="s">
        <v>15</v>
      </c>
      <c r="O1511" s="86" t="s">
        <v>1290</v>
      </c>
    </row>
    <row r="1512" spans="1:15" ht="63" x14ac:dyDescent="0.25">
      <c r="A1512">
        <v>9857</v>
      </c>
      <c r="B1512" s="87">
        <v>12</v>
      </c>
      <c r="C1512" s="82" t="s">
        <v>569</v>
      </c>
      <c r="D1512">
        <v>2018</v>
      </c>
      <c r="E1512" s="87">
        <v>23</v>
      </c>
      <c r="F1512" s="88">
        <v>12.06</v>
      </c>
      <c r="G1512" s="87">
        <v>6</v>
      </c>
      <c r="H1512" s="89">
        <v>-29.723099999999999</v>
      </c>
      <c r="I1512" s="88">
        <v>26.1877</v>
      </c>
      <c r="J1512" s="89" t="s">
        <v>1</v>
      </c>
      <c r="K1512" s="87">
        <v>4.0999999999999996</v>
      </c>
      <c r="L1512" s="90"/>
      <c r="M1512" s="89">
        <v>28</v>
      </c>
      <c r="N1512" s="91" t="s">
        <v>6</v>
      </c>
      <c r="O1512" s="92" t="s">
        <v>1291</v>
      </c>
    </row>
    <row r="1513" spans="1:15" ht="63" x14ac:dyDescent="0.25">
      <c r="A1513">
        <v>9858</v>
      </c>
      <c r="B1513" s="81">
        <v>12</v>
      </c>
      <c r="C1513" s="82" t="s">
        <v>569</v>
      </c>
      <c r="D1513">
        <v>2018</v>
      </c>
      <c r="E1513" s="81">
        <v>42</v>
      </c>
      <c r="F1513" s="83">
        <v>4.6900000000000004</v>
      </c>
      <c r="G1513" s="81">
        <v>9</v>
      </c>
      <c r="H1513" s="84">
        <v>12.0542</v>
      </c>
      <c r="I1513" s="83">
        <v>1.0869</v>
      </c>
      <c r="J1513" s="84" t="s">
        <v>1</v>
      </c>
      <c r="K1513" s="81">
        <v>3.8</v>
      </c>
      <c r="L1513" s="84"/>
      <c r="M1513" s="84">
        <v>114</v>
      </c>
      <c r="N1513" s="85" t="s">
        <v>15</v>
      </c>
      <c r="O1513" s="86" t="s">
        <v>647</v>
      </c>
    </row>
    <row r="1514" spans="1:15" ht="63" x14ac:dyDescent="0.25">
      <c r="A1514">
        <v>9859</v>
      </c>
      <c r="B1514" s="87">
        <v>12</v>
      </c>
      <c r="C1514" s="82" t="s">
        <v>569</v>
      </c>
      <c r="D1514">
        <v>2018</v>
      </c>
      <c r="E1514" s="87">
        <v>0</v>
      </c>
      <c r="F1514" s="88">
        <v>26.39</v>
      </c>
      <c r="G1514" s="87">
        <v>16</v>
      </c>
      <c r="H1514" s="89">
        <v>-24.971</v>
      </c>
      <c r="I1514" s="88">
        <v>31.0883</v>
      </c>
      <c r="J1514" s="89" t="s">
        <v>1</v>
      </c>
      <c r="K1514" s="87"/>
      <c r="L1514" s="90">
        <v>3.4</v>
      </c>
      <c r="M1514" s="89">
        <v>142</v>
      </c>
      <c r="N1514" s="91" t="s">
        <v>6</v>
      </c>
      <c r="O1514" s="92" t="s">
        <v>1292</v>
      </c>
    </row>
    <row r="1515" spans="1:15" ht="47.25" x14ac:dyDescent="0.25">
      <c r="A1515">
        <v>9860</v>
      </c>
      <c r="B1515" s="81">
        <v>12</v>
      </c>
      <c r="C1515" s="82" t="s">
        <v>569</v>
      </c>
      <c r="D1515">
        <v>2018</v>
      </c>
      <c r="E1515" s="81">
        <v>20</v>
      </c>
      <c r="F1515" s="83">
        <v>40.76</v>
      </c>
      <c r="G1515" s="81">
        <v>20</v>
      </c>
      <c r="H1515" s="84">
        <v>15.0754</v>
      </c>
      <c r="I1515" s="83">
        <v>2.2391000000000001</v>
      </c>
      <c r="J1515" s="84" t="s">
        <v>1</v>
      </c>
      <c r="K1515" s="81">
        <v>4.3</v>
      </c>
      <c r="L1515" s="84"/>
      <c r="M1515" s="84">
        <v>90</v>
      </c>
      <c r="N1515" s="85" t="s">
        <v>15</v>
      </c>
      <c r="O1515" s="86" t="s">
        <v>1293</v>
      </c>
    </row>
    <row r="1516" spans="1:15" ht="63" x14ac:dyDescent="0.25">
      <c r="A1516">
        <v>9861</v>
      </c>
      <c r="B1516" s="87">
        <v>13</v>
      </c>
      <c r="C1516" s="82" t="s">
        <v>569</v>
      </c>
      <c r="D1516">
        <v>2018</v>
      </c>
      <c r="E1516" s="87">
        <v>51</v>
      </c>
      <c r="F1516" s="88">
        <v>48.69</v>
      </c>
      <c r="G1516" s="87">
        <v>11</v>
      </c>
      <c r="H1516" s="89">
        <v>-23.9221</v>
      </c>
      <c r="I1516" s="88">
        <v>30.293299999999999</v>
      </c>
      <c r="J1516" s="89" t="s">
        <v>1</v>
      </c>
      <c r="K1516" s="87">
        <v>4.3</v>
      </c>
      <c r="L1516" s="90">
        <v>3.4</v>
      </c>
      <c r="M1516" s="89">
        <v>120</v>
      </c>
      <c r="N1516" s="91" t="s">
        <v>6</v>
      </c>
      <c r="O1516" s="92" t="s">
        <v>1294</v>
      </c>
    </row>
    <row r="1517" spans="1:15" ht="63" x14ac:dyDescent="0.25">
      <c r="A1517">
        <v>9862</v>
      </c>
      <c r="B1517" s="87">
        <v>13</v>
      </c>
      <c r="C1517" s="82" t="s">
        <v>569</v>
      </c>
      <c r="D1517">
        <v>2018</v>
      </c>
      <c r="E1517" s="87">
        <v>53</v>
      </c>
      <c r="F1517" s="88">
        <v>54.9</v>
      </c>
      <c r="G1517" s="87">
        <v>11</v>
      </c>
      <c r="H1517" s="89">
        <v>-28.545500000000001</v>
      </c>
      <c r="I1517" s="88">
        <v>25.351800000000001</v>
      </c>
      <c r="J1517" s="89" t="s">
        <v>1</v>
      </c>
      <c r="K1517" s="87">
        <v>4.0999999999999996</v>
      </c>
      <c r="L1517" s="90"/>
      <c r="M1517" s="89">
        <v>53</v>
      </c>
      <c r="N1517" s="91" t="s">
        <v>6</v>
      </c>
      <c r="O1517" s="92" t="s">
        <v>617</v>
      </c>
    </row>
    <row r="1518" spans="1:15" ht="47.25" x14ac:dyDescent="0.25">
      <c r="A1518">
        <v>9863</v>
      </c>
      <c r="B1518" s="87">
        <v>14</v>
      </c>
      <c r="C1518" s="82" t="s">
        <v>569</v>
      </c>
      <c r="D1518">
        <v>2018</v>
      </c>
      <c r="E1518" s="87">
        <v>32</v>
      </c>
      <c r="F1518" s="88">
        <v>46.01</v>
      </c>
      <c r="G1518" s="87">
        <v>8</v>
      </c>
      <c r="H1518" s="89">
        <v>-19.815799999999999</v>
      </c>
      <c r="I1518" s="88">
        <v>14.183299999999999</v>
      </c>
      <c r="J1518" s="89" t="s">
        <v>1</v>
      </c>
      <c r="K1518" s="87">
        <v>4.3</v>
      </c>
      <c r="L1518" s="90"/>
      <c r="M1518" s="89">
        <v>102</v>
      </c>
      <c r="N1518" s="91" t="s">
        <v>291</v>
      </c>
      <c r="O1518" s="92" t="s">
        <v>1295</v>
      </c>
    </row>
    <row r="1519" spans="1:15" ht="63" x14ac:dyDescent="0.25">
      <c r="A1519">
        <v>9864</v>
      </c>
      <c r="B1519" s="87">
        <v>14</v>
      </c>
      <c r="C1519" s="82" t="s">
        <v>569</v>
      </c>
      <c r="D1519">
        <v>2018</v>
      </c>
      <c r="E1519" s="87">
        <v>55</v>
      </c>
      <c r="F1519" s="88">
        <v>2.65</v>
      </c>
      <c r="G1519" s="87">
        <v>15</v>
      </c>
      <c r="H1519" s="89">
        <v>-25.858899999999998</v>
      </c>
      <c r="I1519" s="88">
        <v>27.563099999999999</v>
      </c>
      <c r="J1519" s="89" t="s">
        <v>1</v>
      </c>
      <c r="K1519" s="87">
        <v>4.0999999999999996</v>
      </c>
      <c r="L1519" s="90"/>
      <c r="M1519" s="89">
        <v>35</v>
      </c>
      <c r="N1519" s="91" t="s">
        <v>6</v>
      </c>
      <c r="O1519" s="92" t="s">
        <v>1296</v>
      </c>
    </row>
    <row r="1520" spans="1:15" ht="63" x14ac:dyDescent="0.25">
      <c r="A1520">
        <v>9865</v>
      </c>
      <c r="B1520" s="87">
        <v>14</v>
      </c>
      <c r="C1520" s="82" t="s">
        <v>569</v>
      </c>
      <c r="D1520">
        <v>2018</v>
      </c>
      <c r="E1520" s="87">
        <v>13</v>
      </c>
      <c r="F1520" s="88">
        <v>23.3</v>
      </c>
      <c r="G1520" s="87">
        <v>22</v>
      </c>
      <c r="H1520" s="89">
        <v>30.152999999999999</v>
      </c>
      <c r="I1520" s="88">
        <v>28.635899999999999</v>
      </c>
      <c r="J1520" s="89" t="s">
        <v>1</v>
      </c>
      <c r="K1520" s="87">
        <v>3.9</v>
      </c>
      <c r="L1520" s="90"/>
      <c r="M1520" s="89">
        <v>126</v>
      </c>
      <c r="N1520" s="91" t="s">
        <v>72</v>
      </c>
      <c r="O1520" s="92" t="s">
        <v>1297</v>
      </c>
    </row>
    <row r="1521" spans="1:15" ht="47.25" x14ac:dyDescent="0.25">
      <c r="A1521">
        <v>9866</v>
      </c>
      <c r="B1521" s="87">
        <v>15</v>
      </c>
      <c r="C1521" s="82" t="s">
        <v>569</v>
      </c>
      <c r="D1521">
        <v>2018</v>
      </c>
      <c r="E1521" s="87">
        <v>17</v>
      </c>
      <c r="F1521" s="88">
        <v>20.22</v>
      </c>
      <c r="G1521" s="87">
        <v>5</v>
      </c>
      <c r="H1521" s="89">
        <v>1.1707000000000001</v>
      </c>
      <c r="I1521" s="88">
        <v>9.3438999999999997</v>
      </c>
      <c r="J1521" s="89" t="s">
        <v>1</v>
      </c>
      <c r="K1521" s="87">
        <v>3.9</v>
      </c>
      <c r="L1521" s="90">
        <v>4.5</v>
      </c>
      <c r="M1521" s="89">
        <v>58</v>
      </c>
      <c r="N1521" s="91" t="s">
        <v>1298</v>
      </c>
      <c r="O1521" s="93" t="s">
        <v>1299</v>
      </c>
    </row>
    <row r="1522" spans="1:15" ht="31.5" x14ac:dyDescent="0.25">
      <c r="A1522">
        <v>9867</v>
      </c>
      <c r="B1522" s="87">
        <v>15</v>
      </c>
      <c r="C1522" s="82" t="s">
        <v>569</v>
      </c>
      <c r="D1522">
        <v>2018</v>
      </c>
      <c r="E1522" s="87">
        <v>36</v>
      </c>
      <c r="F1522" s="88">
        <v>9.6199999999999992</v>
      </c>
      <c r="G1522" s="87">
        <v>15</v>
      </c>
      <c r="H1522" s="89">
        <v>34.6053</v>
      </c>
      <c r="I1522" s="88">
        <v>-4.0810000000000004</v>
      </c>
      <c r="J1522" s="89" t="s">
        <v>1</v>
      </c>
      <c r="K1522" s="87">
        <v>4.0999999999999996</v>
      </c>
      <c r="L1522" s="90"/>
      <c r="M1522" s="89">
        <v>117</v>
      </c>
      <c r="N1522" s="91" t="s">
        <v>28</v>
      </c>
      <c r="O1522" s="93" t="s">
        <v>1300</v>
      </c>
    </row>
    <row r="1523" spans="1:15" ht="47.25" x14ac:dyDescent="0.25">
      <c r="A1523">
        <v>9868</v>
      </c>
      <c r="B1523" s="87">
        <v>16</v>
      </c>
      <c r="C1523" s="82" t="s">
        <v>569</v>
      </c>
      <c r="D1523">
        <v>2018</v>
      </c>
      <c r="E1523" s="87">
        <v>39</v>
      </c>
      <c r="F1523" s="88">
        <v>25.6</v>
      </c>
      <c r="G1523" s="87">
        <v>4</v>
      </c>
      <c r="H1523" s="89">
        <v>6.6199000000000003</v>
      </c>
      <c r="I1523" s="88">
        <v>-3.2530999999999999</v>
      </c>
      <c r="J1523" s="89" t="s">
        <v>1</v>
      </c>
      <c r="K1523" s="87">
        <v>4.2</v>
      </c>
      <c r="L1523" s="90"/>
      <c r="M1523" s="89">
        <v>171</v>
      </c>
      <c r="N1523" s="91" t="s">
        <v>15</v>
      </c>
      <c r="O1523" s="93" t="s">
        <v>1301</v>
      </c>
    </row>
    <row r="1524" spans="1:15" ht="15.75" x14ac:dyDescent="0.25">
      <c r="A1524">
        <v>9869</v>
      </c>
      <c r="B1524" s="87">
        <v>16</v>
      </c>
      <c r="C1524" s="82" t="s">
        <v>569</v>
      </c>
      <c r="D1524">
        <v>2018</v>
      </c>
      <c r="E1524" s="87">
        <v>53</v>
      </c>
      <c r="F1524" s="88">
        <v>50.96</v>
      </c>
      <c r="G1524" s="87">
        <v>21</v>
      </c>
      <c r="H1524" s="89">
        <v>32.068800000000003</v>
      </c>
      <c r="I1524" s="88">
        <v>22.392399999999999</v>
      </c>
      <c r="J1524" s="89" t="s">
        <v>1</v>
      </c>
      <c r="K1524" s="87">
        <v>3.7</v>
      </c>
      <c r="L1524" s="90">
        <v>3</v>
      </c>
      <c r="M1524" s="89">
        <v>130</v>
      </c>
      <c r="N1524" s="91" t="s">
        <v>204</v>
      </c>
      <c r="O1524" s="93" t="s">
        <v>775</v>
      </c>
    </row>
    <row r="1525" spans="1:15" ht="15.75" x14ac:dyDescent="0.25">
      <c r="A1525">
        <v>9870</v>
      </c>
      <c r="B1525" s="87">
        <v>17</v>
      </c>
      <c r="C1525" s="82" t="s">
        <v>569</v>
      </c>
      <c r="D1525">
        <v>2018</v>
      </c>
      <c r="E1525" s="87">
        <v>34</v>
      </c>
      <c r="F1525" s="88">
        <v>9.49</v>
      </c>
      <c r="G1525" s="87">
        <v>1</v>
      </c>
      <c r="H1525" s="89">
        <v>34.966099999999997</v>
      </c>
      <c r="I1525" s="88">
        <v>10.2605</v>
      </c>
      <c r="J1525" s="89" t="s">
        <v>1</v>
      </c>
      <c r="K1525" s="87">
        <v>4.3</v>
      </c>
      <c r="L1525" s="90">
        <v>3.7</v>
      </c>
      <c r="M1525" s="89">
        <v>20</v>
      </c>
      <c r="N1525" s="91" t="s">
        <v>2</v>
      </c>
      <c r="O1525" s="93" t="s">
        <v>1302</v>
      </c>
    </row>
    <row r="1526" spans="1:15" ht="63" x14ac:dyDescent="0.25">
      <c r="A1526">
        <v>9871</v>
      </c>
      <c r="B1526" s="87">
        <v>17</v>
      </c>
      <c r="C1526" s="82" t="s">
        <v>569</v>
      </c>
      <c r="D1526">
        <v>2018</v>
      </c>
      <c r="E1526" s="87">
        <v>44</v>
      </c>
      <c r="F1526" s="88">
        <v>17.239999999999998</v>
      </c>
      <c r="G1526" s="87">
        <v>4</v>
      </c>
      <c r="H1526" s="89">
        <v>-28.613800000000001</v>
      </c>
      <c r="I1526" s="88">
        <v>25.196200000000001</v>
      </c>
      <c r="J1526" s="89" t="s">
        <v>1</v>
      </c>
      <c r="K1526" s="87">
        <v>4</v>
      </c>
      <c r="L1526" s="90"/>
      <c r="M1526" s="89">
        <v>90</v>
      </c>
      <c r="N1526" s="91" t="s">
        <v>6</v>
      </c>
      <c r="O1526" s="93" t="s">
        <v>789</v>
      </c>
    </row>
    <row r="1527" spans="1:15" ht="15.75" x14ac:dyDescent="0.25">
      <c r="A1527">
        <v>9872</v>
      </c>
      <c r="B1527" s="87">
        <v>17</v>
      </c>
      <c r="C1527" s="82" t="s">
        <v>569</v>
      </c>
      <c r="D1527">
        <v>2018</v>
      </c>
      <c r="E1527" s="87">
        <v>1</v>
      </c>
      <c r="F1527" s="88">
        <v>1.58</v>
      </c>
      <c r="G1527" s="87">
        <v>6</v>
      </c>
      <c r="H1527" s="89">
        <v>14.755100000000001</v>
      </c>
      <c r="I1527" s="88">
        <v>13.0212</v>
      </c>
      <c r="J1527" s="89" t="s">
        <v>1</v>
      </c>
      <c r="K1527" s="87">
        <v>3.9</v>
      </c>
      <c r="L1527" s="90"/>
      <c r="M1527" s="89">
        <v>88</v>
      </c>
      <c r="N1527" s="91" t="s">
        <v>804</v>
      </c>
      <c r="O1527" s="93" t="s">
        <v>1303</v>
      </c>
    </row>
    <row r="1528" spans="1:15" ht="31.5" x14ac:dyDescent="0.25">
      <c r="A1528">
        <v>9873</v>
      </c>
      <c r="B1528" s="87">
        <v>17</v>
      </c>
      <c r="C1528" s="82" t="s">
        <v>569</v>
      </c>
      <c r="D1528">
        <v>2018</v>
      </c>
      <c r="E1528" s="87">
        <v>47</v>
      </c>
      <c r="F1528" s="88">
        <v>6.48</v>
      </c>
      <c r="G1528" s="87">
        <v>7</v>
      </c>
      <c r="H1528" s="89">
        <v>-18.0242</v>
      </c>
      <c r="I1528" s="88">
        <v>14.860300000000001</v>
      </c>
      <c r="J1528" s="89" t="s">
        <v>1</v>
      </c>
      <c r="K1528" s="87">
        <v>4</v>
      </c>
      <c r="L1528" s="90"/>
      <c r="M1528" s="89">
        <v>115</v>
      </c>
      <c r="N1528" s="91" t="s">
        <v>291</v>
      </c>
      <c r="O1528" s="93" t="s">
        <v>1304</v>
      </c>
    </row>
    <row r="1529" spans="1:15" ht="31.5" x14ac:dyDescent="0.25">
      <c r="A1529">
        <v>9874</v>
      </c>
      <c r="B1529" s="87">
        <v>17</v>
      </c>
      <c r="C1529" s="82" t="s">
        <v>569</v>
      </c>
      <c r="D1529">
        <v>2018</v>
      </c>
      <c r="E1529" s="87">
        <v>12</v>
      </c>
      <c r="F1529" s="88">
        <v>22.97</v>
      </c>
      <c r="G1529" s="87">
        <v>15</v>
      </c>
      <c r="H1529" s="89">
        <v>-16.608899999999998</v>
      </c>
      <c r="I1529" s="88">
        <v>35.756700000000002</v>
      </c>
      <c r="J1529" s="89" t="s">
        <v>1</v>
      </c>
      <c r="K1529" s="87">
        <v>4.4000000000000004</v>
      </c>
      <c r="L1529" s="90"/>
      <c r="M1529" s="89">
        <v>9</v>
      </c>
      <c r="N1529" s="91" t="s">
        <v>26</v>
      </c>
      <c r="O1529" s="93" t="s">
        <v>1305</v>
      </c>
    </row>
    <row r="1530" spans="1:15" ht="31.5" x14ac:dyDescent="0.25">
      <c r="A1530">
        <v>9875</v>
      </c>
      <c r="B1530" s="87">
        <v>17</v>
      </c>
      <c r="C1530" s="82" t="s">
        <v>569</v>
      </c>
      <c r="D1530">
        <v>2018</v>
      </c>
      <c r="E1530" s="87">
        <v>46</v>
      </c>
      <c r="F1530" s="88">
        <v>47.37</v>
      </c>
      <c r="G1530" s="87">
        <v>15</v>
      </c>
      <c r="H1530" s="89">
        <v>15.107900000000001</v>
      </c>
      <c r="I1530" s="88">
        <v>-16.975300000000001</v>
      </c>
      <c r="J1530" s="89" t="s">
        <v>1</v>
      </c>
      <c r="K1530" s="87">
        <v>4.2</v>
      </c>
      <c r="L1530" s="90">
        <v>3.1</v>
      </c>
      <c r="M1530" s="89">
        <v>131</v>
      </c>
      <c r="N1530" s="91" t="s">
        <v>1306</v>
      </c>
      <c r="O1530" s="93" t="s">
        <v>1307</v>
      </c>
    </row>
    <row r="1531" spans="1:15" ht="63" x14ac:dyDescent="0.25">
      <c r="A1531">
        <v>9876</v>
      </c>
      <c r="B1531" s="87">
        <v>17</v>
      </c>
      <c r="C1531" s="82" t="s">
        <v>569</v>
      </c>
      <c r="D1531">
        <v>2018</v>
      </c>
      <c r="E1531" s="87">
        <v>42</v>
      </c>
      <c r="F1531" s="88">
        <v>23.65</v>
      </c>
      <c r="G1531" s="87">
        <v>19</v>
      </c>
      <c r="H1531" s="89">
        <v>-26.7102</v>
      </c>
      <c r="I1531" s="88">
        <v>27.569600000000001</v>
      </c>
      <c r="J1531" s="89" t="s">
        <v>1</v>
      </c>
      <c r="K1531" s="87">
        <v>3.8</v>
      </c>
      <c r="L1531" s="90"/>
      <c r="M1531" s="89">
        <v>117</v>
      </c>
      <c r="N1531" s="91" t="s">
        <v>6</v>
      </c>
      <c r="O1531" s="93" t="s">
        <v>1308</v>
      </c>
    </row>
    <row r="1532" spans="1:15" ht="63" x14ac:dyDescent="0.25">
      <c r="A1532">
        <v>9877</v>
      </c>
      <c r="B1532" s="87">
        <v>17</v>
      </c>
      <c r="C1532" s="82" t="s">
        <v>569</v>
      </c>
      <c r="D1532">
        <v>2018</v>
      </c>
      <c r="E1532" s="87">
        <v>36</v>
      </c>
      <c r="F1532" s="88">
        <v>51.98</v>
      </c>
      <c r="G1532" s="87">
        <v>20</v>
      </c>
      <c r="H1532" s="89">
        <v>-27.665900000000001</v>
      </c>
      <c r="I1532" s="88">
        <v>26.3916</v>
      </c>
      <c r="J1532" s="89" t="s">
        <v>1</v>
      </c>
      <c r="K1532" s="87">
        <v>4.4000000000000004</v>
      </c>
      <c r="L1532" s="90"/>
      <c r="M1532" s="89">
        <v>103</v>
      </c>
      <c r="N1532" s="91" t="s">
        <v>6</v>
      </c>
      <c r="O1532" s="93" t="s">
        <v>1309</v>
      </c>
    </row>
    <row r="1533" spans="1:15" ht="31.5" x14ac:dyDescent="0.25">
      <c r="A1533">
        <v>9878</v>
      </c>
      <c r="B1533" s="87">
        <v>18</v>
      </c>
      <c r="C1533" s="82" t="s">
        <v>569</v>
      </c>
      <c r="D1533">
        <v>2018</v>
      </c>
      <c r="E1533" s="87">
        <v>0</v>
      </c>
      <c r="F1533" s="88">
        <v>40.47</v>
      </c>
      <c r="G1533" s="87">
        <v>2</v>
      </c>
      <c r="H1533" s="89">
        <v>7.4250999999999996</v>
      </c>
      <c r="I1533" s="88">
        <v>-4.5891999999999999</v>
      </c>
      <c r="J1533" s="89" t="s">
        <v>1</v>
      </c>
      <c r="K1533" s="87">
        <v>3.8</v>
      </c>
      <c r="L1533" s="90"/>
      <c r="M1533" s="89">
        <v>112</v>
      </c>
      <c r="N1533" s="91" t="s">
        <v>1310</v>
      </c>
      <c r="O1533" s="93" t="s">
        <v>1311</v>
      </c>
    </row>
    <row r="1534" spans="1:15" ht="31.5" x14ac:dyDescent="0.25">
      <c r="A1534">
        <v>9879</v>
      </c>
      <c r="B1534" s="87">
        <v>18</v>
      </c>
      <c r="C1534" s="82" t="s">
        <v>569</v>
      </c>
      <c r="D1534">
        <v>2018</v>
      </c>
      <c r="E1534" s="87">
        <v>1</v>
      </c>
      <c r="F1534" s="88">
        <v>35.93</v>
      </c>
      <c r="G1534" s="87">
        <v>9</v>
      </c>
      <c r="H1534" s="89">
        <v>6.5780000000000003</v>
      </c>
      <c r="I1534" s="88">
        <v>-6.3658000000000001</v>
      </c>
      <c r="J1534" s="89" t="s">
        <v>1</v>
      </c>
      <c r="K1534" s="87">
        <v>3.9</v>
      </c>
      <c r="L1534" s="90"/>
      <c r="M1534" s="89">
        <v>176</v>
      </c>
      <c r="N1534" s="91" t="s">
        <v>1310</v>
      </c>
      <c r="O1534" s="93" t="s">
        <v>1312</v>
      </c>
    </row>
    <row r="1535" spans="1:15" ht="31.5" x14ac:dyDescent="0.25">
      <c r="A1535">
        <v>9880</v>
      </c>
      <c r="B1535" s="87">
        <v>20</v>
      </c>
      <c r="C1535" s="82" t="s">
        <v>569</v>
      </c>
      <c r="D1535">
        <v>2018</v>
      </c>
      <c r="E1535" s="87">
        <v>28</v>
      </c>
      <c r="F1535" s="88">
        <v>20.350000000000001</v>
      </c>
      <c r="G1535" s="87">
        <v>20</v>
      </c>
      <c r="H1535" s="89">
        <v>5.0316000000000001</v>
      </c>
      <c r="I1535" s="88">
        <v>-6.508</v>
      </c>
      <c r="J1535" s="89" t="s">
        <v>1</v>
      </c>
      <c r="K1535" s="87">
        <v>3.6</v>
      </c>
      <c r="L1535" s="90"/>
      <c r="M1535" s="89">
        <v>135</v>
      </c>
      <c r="N1535" s="91" t="s">
        <v>1310</v>
      </c>
      <c r="O1535" s="93" t="s">
        <v>1313</v>
      </c>
    </row>
    <row r="1536" spans="1:15" ht="31.5" x14ac:dyDescent="0.25">
      <c r="A1536">
        <v>9881</v>
      </c>
      <c r="B1536" s="87">
        <v>21</v>
      </c>
      <c r="C1536" s="82" t="s">
        <v>569</v>
      </c>
      <c r="D1536">
        <v>2018</v>
      </c>
      <c r="E1536" s="87">
        <v>13</v>
      </c>
      <c r="F1536" s="88">
        <v>25.96</v>
      </c>
      <c r="G1536" s="87">
        <v>1</v>
      </c>
      <c r="H1536" s="89">
        <v>22.267700000000001</v>
      </c>
      <c r="I1536" s="88">
        <v>-10.321400000000001</v>
      </c>
      <c r="J1536" s="89" t="s">
        <v>1</v>
      </c>
      <c r="K1536" s="87">
        <v>4.4000000000000004</v>
      </c>
      <c r="L1536" s="90"/>
      <c r="M1536" s="89">
        <v>97</v>
      </c>
      <c r="N1536" s="91" t="s">
        <v>799</v>
      </c>
      <c r="O1536" s="93" t="s">
        <v>800</v>
      </c>
    </row>
    <row r="1537" spans="1:15" ht="63" x14ac:dyDescent="0.25">
      <c r="A1537">
        <v>9882</v>
      </c>
      <c r="B1537" s="87">
        <v>21</v>
      </c>
      <c r="C1537" s="82" t="s">
        <v>569</v>
      </c>
      <c r="D1537">
        <v>2018</v>
      </c>
      <c r="E1537" s="87">
        <v>53</v>
      </c>
      <c r="F1537" s="88">
        <v>0.69</v>
      </c>
      <c r="G1537" s="87">
        <v>1</v>
      </c>
      <c r="H1537" s="89">
        <v>-28.372699999999998</v>
      </c>
      <c r="I1537" s="88">
        <v>32.340499999999999</v>
      </c>
      <c r="J1537" s="89" t="s">
        <v>1</v>
      </c>
      <c r="K1537" s="87">
        <v>4.0999999999999996</v>
      </c>
      <c r="L1537" s="90">
        <v>4.4000000000000004</v>
      </c>
      <c r="M1537" s="89">
        <v>158</v>
      </c>
      <c r="N1537" s="91" t="s">
        <v>6</v>
      </c>
      <c r="O1537" s="93" t="s">
        <v>1314</v>
      </c>
    </row>
    <row r="1538" spans="1:15" ht="63" x14ac:dyDescent="0.25">
      <c r="A1538">
        <v>9883</v>
      </c>
      <c r="B1538" s="87">
        <v>21</v>
      </c>
      <c r="C1538" s="82" t="s">
        <v>569</v>
      </c>
      <c r="D1538">
        <v>2018</v>
      </c>
      <c r="E1538" s="87">
        <v>50</v>
      </c>
      <c r="F1538" s="88">
        <v>52.37</v>
      </c>
      <c r="G1538" s="87">
        <v>2</v>
      </c>
      <c r="H1538" s="89">
        <v>-28.587599999999998</v>
      </c>
      <c r="I1538" s="88">
        <v>28.158999999999999</v>
      </c>
      <c r="J1538" s="89" t="s">
        <v>1</v>
      </c>
      <c r="K1538" s="87">
        <v>4.3</v>
      </c>
      <c r="L1538" s="90"/>
      <c r="M1538" s="89">
        <v>167</v>
      </c>
      <c r="N1538" s="91" t="s">
        <v>6</v>
      </c>
      <c r="O1538" s="93" t="s">
        <v>1315</v>
      </c>
    </row>
    <row r="1539" spans="1:15" ht="63" x14ac:dyDescent="0.25">
      <c r="A1539">
        <v>9884</v>
      </c>
      <c r="B1539" s="87">
        <v>21</v>
      </c>
      <c r="C1539" s="82" t="s">
        <v>569</v>
      </c>
      <c r="D1539">
        <v>2018</v>
      </c>
      <c r="E1539" s="87">
        <v>53</v>
      </c>
      <c r="F1539" s="88">
        <v>46.98</v>
      </c>
      <c r="G1539" s="87">
        <v>2</v>
      </c>
      <c r="H1539" s="89">
        <v>-28.292899999999999</v>
      </c>
      <c r="I1539" s="88">
        <v>26.755500000000001</v>
      </c>
      <c r="J1539" s="89" t="s">
        <v>1</v>
      </c>
      <c r="K1539" s="87">
        <v>4.0999999999999996</v>
      </c>
      <c r="L1539" s="90"/>
      <c r="M1539" s="89">
        <v>166</v>
      </c>
      <c r="N1539" s="91" t="s">
        <v>6</v>
      </c>
      <c r="O1539" s="93" t="s">
        <v>1316</v>
      </c>
    </row>
    <row r="1540" spans="1:15" ht="63" x14ac:dyDescent="0.25">
      <c r="A1540">
        <v>9885</v>
      </c>
      <c r="B1540" s="87">
        <v>21</v>
      </c>
      <c r="C1540" s="82" t="s">
        <v>569</v>
      </c>
      <c r="D1540">
        <v>2018</v>
      </c>
      <c r="E1540" s="87">
        <v>27</v>
      </c>
      <c r="F1540" s="88">
        <v>22.17</v>
      </c>
      <c r="G1540" s="87">
        <v>3</v>
      </c>
      <c r="H1540" s="89">
        <v>-28.6219</v>
      </c>
      <c r="I1540" s="88">
        <v>24.964700000000001</v>
      </c>
      <c r="J1540" s="89" t="s">
        <v>1</v>
      </c>
      <c r="K1540" s="87">
        <v>4.2</v>
      </c>
      <c r="L1540" s="90"/>
      <c r="M1540" s="89">
        <v>159</v>
      </c>
      <c r="N1540" s="91" t="s">
        <v>6</v>
      </c>
      <c r="O1540" s="93" t="s">
        <v>789</v>
      </c>
    </row>
    <row r="1541" spans="1:15" ht="31.5" x14ac:dyDescent="0.25">
      <c r="A1541">
        <v>9886</v>
      </c>
      <c r="B1541" s="87">
        <v>22</v>
      </c>
      <c r="C1541" s="82" t="s">
        <v>569</v>
      </c>
      <c r="D1541">
        <v>2018</v>
      </c>
      <c r="E1541" s="87">
        <v>47</v>
      </c>
      <c r="F1541" s="88">
        <v>7.99</v>
      </c>
      <c r="G1541" s="87">
        <v>3</v>
      </c>
      <c r="H1541" s="89">
        <v>5.3061999999999996</v>
      </c>
      <c r="I1541" s="88">
        <v>-5.1520000000000001</v>
      </c>
      <c r="J1541" s="89" t="s">
        <v>1</v>
      </c>
      <c r="K1541" s="87">
        <v>4.5</v>
      </c>
      <c r="L1541" s="90"/>
      <c r="M1541" s="89">
        <v>113</v>
      </c>
      <c r="N1541" s="91" t="s">
        <v>1310</v>
      </c>
      <c r="O1541" s="93" t="s">
        <v>1317</v>
      </c>
    </row>
    <row r="1542" spans="1:15" ht="31.5" x14ac:dyDescent="0.25">
      <c r="A1542">
        <v>9887</v>
      </c>
      <c r="B1542" s="87">
        <v>22</v>
      </c>
      <c r="C1542" s="82" t="s">
        <v>569</v>
      </c>
      <c r="D1542">
        <v>2018</v>
      </c>
      <c r="E1542" s="87">
        <v>32</v>
      </c>
      <c r="F1542" s="88">
        <v>40.159999999999997</v>
      </c>
      <c r="G1542" s="87">
        <v>9</v>
      </c>
      <c r="H1542" s="89">
        <v>31.5779</v>
      </c>
      <c r="I1542" s="88">
        <v>-6.6036999999999999</v>
      </c>
      <c r="J1542" s="89" t="s">
        <v>1</v>
      </c>
      <c r="K1542" s="87">
        <v>3.8</v>
      </c>
      <c r="L1542" s="90">
        <v>3.1</v>
      </c>
      <c r="M1542" s="89">
        <v>144</v>
      </c>
      <c r="N1542" s="91" t="s">
        <v>28</v>
      </c>
      <c r="O1542" s="93" t="s">
        <v>1318</v>
      </c>
    </row>
    <row r="1543" spans="1:15" ht="63" x14ac:dyDescent="0.25">
      <c r="A1543">
        <v>9888</v>
      </c>
      <c r="B1543" s="87">
        <v>22</v>
      </c>
      <c r="C1543" s="82" t="s">
        <v>569</v>
      </c>
      <c r="D1543">
        <v>2018</v>
      </c>
      <c r="E1543" s="87">
        <v>0</v>
      </c>
      <c r="F1543" s="88">
        <v>32.729999999999997</v>
      </c>
      <c r="G1543" s="87">
        <v>17</v>
      </c>
      <c r="H1543" s="89">
        <v>-29.279599999999999</v>
      </c>
      <c r="I1543" s="88">
        <v>24.6508</v>
      </c>
      <c r="J1543" s="89" t="s">
        <v>1</v>
      </c>
      <c r="K1543" s="87">
        <v>3.9</v>
      </c>
      <c r="L1543" s="90"/>
      <c r="M1543" s="89">
        <v>43</v>
      </c>
      <c r="N1543" s="91" t="s">
        <v>6</v>
      </c>
      <c r="O1543" s="93" t="s">
        <v>780</v>
      </c>
    </row>
    <row r="1544" spans="1:15" ht="78.75" x14ac:dyDescent="0.25">
      <c r="A1544">
        <v>9889</v>
      </c>
      <c r="B1544" s="87">
        <v>22</v>
      </c>
      <c r="C1544" s="82" t="s">
        <v>569</v>
      </c>
      <c r="D1544">
        <v>2018</v>
      </c>
      <c r="E1544" s="87">
        <v>43</v>
      </c>
      <c r="F1544" s="88">
        <v>56.39</v>
      </c>
      <c r="G1544" s="87">
        <v>19</v>
      </c>
      <c r="H1544" s="89">
        <v>-2.2749999999999999</v>
      </c>
      <c r="I1544" s="88">
        <v>19.1309</v>
      </c>
      <c r="J1544" s="89" t="s">
        <v>1</v>
      </c>
      <c r="K1544" s="87">
        <v>4.0999999999999996</v>
      </c>
      <c r="L1544" s="90"/>
      <c r="M1544" s="89">
        <v>175</v>
      </c>
      <c r="N1544" s="91" t="s">
        <v>880</v>
      </c>
      <c r="O1544" s="93" t="s">
        <v>1319</v>
      </c>
    </row>
    <row r="1545" spans="1:15" ht="63" x14ac:dyDescent="0.25">
      <c r="A1545">
        <v>9890</v>
      </c>
      <c r="B1545" s="87">
        <v>23</v>
      </c>
      <c r="C1545" s="82" t="s">
        <v>569</v>
      </c>
      <c r="D1545">
        <v>2018</v>
      </c>
      <c r="E1545" s="87">
        <v>21</v>
      </c>
      <c r="F1545" s="88">
        <v>53.37</v>
      </c>
      <c r="G1545" s="87">
        <v>4</v>
      </c>
      <c r="H1545" s="89">
        <v>-23.318100000000001</v>
      </c>
      <c r="I1545" s="88">
        <v>29.474699999999999</v>
      </c>
      <c r="J1545" s="89" t="s">
        <v>1</v>
      </c>
      <c r="K1545" s="87">
        <v>3.9</v>
      </c>
      <c r="L1545" s="90">
        <v>3.3</v>
      </c>
      <c r="M1545" s="89">
        <v>124</v>
      </c>
      <c r="N1545" s="91" t="s">
        <v>6</v>
      </c>
      <c r="O1545" s="93" t="s">
        <v>1320</v>
      </c>
    </row>
    <row r="1546" spans="1:15" ht="63" x14ac:dyDescent="0.25">
      <c r="A1546">
        <v>9891</v>
      </c>
      <c r="B1546" s="87">
        <v>23</v>
      </c>
      <c r="C1546" s="82" t="s">
        <v>569</v>
      </c>
      <c r="D1546">
        <v>2018</v>
      </c>
      <c r="E1546" s="87">
        <v>32</v>
      </c>
      <c r="F1546" s="88">
        <v>1.35</v>
      </c>
      <c r="G1546" s="87">
        <v>11</v>
      </c>
      <c r="H1546" s="89">
        <v>-27.797799999999999</v>
      </c>
      <c r="I1546" s="88">
        <v>23.8124</v>
      </c>
      <c r="J1546" s="89" t="s">
        <v>1</v>
      </c>
      <c r="K1546" s="87">
        <v>4.3</v>
      </c>
      <c r="L1546" s="90"/>
      <c r="M1546" s="89">
        <v>31</v>
      </c>
      <c r="N1546" s="91" t="s">
        <v>6</v>
      </c>
      <c r="O1546" s="93" t="s">
        <v>923</v>
      </c>
    </row>
    <row r="1547" spans="1:15" ht="31.5" x14ac:dyDescent="0.25">
      <c r="A1547">
        <v>9892</v>
      </c>
      <c r="B1547" s="87">
        <v>23</v>
      </c>
      <c r="C1547" s="82" t="s">
        <v>569</v>
      </c>
      <c r="D1547">
        <v>2018</v>
      </c>
      <c r="E1547" s="87">
        <v>49</v>
      </c>
      <c r="F1547" s="88">
        <v>54.24</v>
      </c>
      <c r="G1547" s="87">
        <v>13</v>
      </c>
      <c r="H1547" s="89">
        <v>31.432500000000001</v>
      </c>
      <c r="I1547" s="88">
        <v>-5.2774999999999999</v>
      </c>
      <c r="J1547" s="89" t="s">
        <v>1</v>
      </c>
      <c r="K1547" s="87">
        <v>3.6</v>
      </c>
      <c r="L1547" s="90"/>
      <c r="M1547" s="89">
        <v>99</v>
      </c>
      <c r="N1547" s="91" t="s">
        <v>28</v>
      </c>
      <c r="O1547" s="93" t="s">
        <v>1321</v>
      </c>
    </row>
    <row r="1548" spans="1:15" ht="15.75" x14ac:dyDescent="0.25">
      <c r="A1548">
        <v>9893</v>
      </c>
      <c r="B1548" s="87">
        <v>24</v>
      </c>
      <c r="C1548" s="82" t="s">
        <v>569</v>
      </c>
      <c r="D1548">
        <v>2018</v>
      </c>
      <c r="E1548" s="87">
        <v>9</v>
      </c>
      <c r="F1548" s="88">
        <v>30.58</v>
      </c>
      <c r="G1548" s="87">
        <v>3</v>
      </c>
      <c r="H1548" s="89">
        <v>5.8190999999999997</v>
      </c>
      <c r="I1548" s="88">
        <v>-2.1903999999999999</v>
      </c>
      <c r="J1548" s="89" t="s">
        <v>1</v>
      </c>
      <c r="K1548" s="87">
        <v>2.2999999999999998</v>
      </c>
      <c r="L1548" s="90"/>
      <c r="M1548" s="89">
        <v>149</v>
      </c>
      <c r="N1548" s="91" t="s">
        <v>1322</v>
      </c>
      <c r="O1548" s="93" t="s">
        <v>1323</v>
      </c>
    </row>
    <row r="1549" spans="1:15" ht="63" x14ac:dyDescent="0.25">
      <c r="A1549">
        <v>9894</v>
      </c>
      <c r="B1549" s="87">
        <v>24</v>
      </c>
      <c r="C1549" s="82" t="s">
        <v>569</v>
      </c>
      <c r="D1549">
        <v>2018</v>
      </c>
      <c r="E1549" s="87">
        <v>57</v>
      </c>
      <c r="F1549" s="88">
        <v>37.44</v>
      </c>
      <c r="G1549" s="87">
        <v>6</v>
      </c>
      <c r="H1549" s="89">
        <v>-27.075700000000001</v>
      </c>
      <c r="I1549" s="88">
        <v>24.926300000000001</v>
      </c>
      <c r="J1549" s="89" t="s">
        <v>1</v>
      </c>
      <c r="K1549" s="87">
        <v>4.0999999999999996</v>
      </c>
      <c r="L1549" s="90"/>
      <c r="M1549" s="89">
        <v>80</v>
      </c>
      <c r="N1549" s="91" t="s">
        <v>6</v>
      </c>
      <c r="O1549" s="93" t="s">
        <v>1324</v>
      </c>
    </row>
    <row r="1550" spans="1:15" ht="31.5" x14ac:dyDescent="0.25">
      <c r="A1550">
        <v>9895</v>
      </c>
      <c r="B1550" s="87">
        <v>24</v>
      </c>
      <c r="C1550" s="82" t="s">
        <v>569</v>
      </c>
      <c r="D1550">
        <v>2018</v>
      </c>
      <c r="E1550" s="87">
        <v>27</v>
      </c>
      <c r="F1550" s="88">
        <v>32.6</v>
      </c>
      <c r="G1550" s="87">
        <v>10</v>
      </c>
      <c r="H1550" s="89">
        <v>13.464499999999999</v>
      </c>
      <c r="I1550" s="88">
        <v>39.921599999999998</v>
      </c>
      <c r="J1550" s="89" t="s">
        <v>1</v>
      </c>
      <c r="K1550" s="87">
        <v>4.7</v>
      </c>
      <c r="L1550" s="90"/>
      <c r="M1550" s="89">
        <v>148</v>
      </c>
      <c r="N1550" s="91" t="s">
        <v>57</v>
      </c>
      <c r="O1550" s="93" t="s">
        <v>1325</v>
      </c>
    </row>
    <row r="1551" spans="1:15" ht="31.5" x14ac:dyDescent="0.25">
      <c r="A1551">
        <v>9896</v>
      </c>
      <c r="B1551" s="87">
        <v>24</v>
      </c>
      <c r="C1551" s="82" t="s">
        <v>569</v>
      </c>
      <c r="D1551">
        <v>2018</v>
      </c>
      <c r="E1551" s="87">
        <v>56</v>
      </c>
      <c r="F1551" s="88">
        <v>19.36</v>
      </c>
      <c r="G1551" s="87">
        <v>14</v>
      </c>
      <c r="H1551" s="89">
        <v>7.9978999999999996</v>
      </c>
      <c r="I1551" s="88">
        <v>-4.7804000000000002</v>
      </c>
      <c r="J1551" s="89" t="s">
        <v>1</v>
      </c>
      <c r="K1551" s="87">
        <v>4.3</v>
      </c>
      <c r="L1551" s="90"/>
      <c r="M1551" s="89">
        <v>98</v>
      </c>
      <c r="N1551" s="91" t="s">
        <v>1310</v>
      </c>
      <c r="O1551" s="93" t="s">
        <v>1326</v>
      </c>
    </row>
    <row r="1552" spans="1:15" ht="63" x14ac:dyDescent="0.25">
      <c r="A1552">
        <v>9897</v>
      </c>
      <c r="B1552" s="87">
        <v>24</v>
      </c>
      <c r="C1552" s="82" t="s">
        <v>569</v>
      </c>
      <c r="D1552">
        <v>2018</v>
      </c>
      <c r="E1552" s="87">
        <v>50</v>
      </c>
      <c r="F1552" s="88">
        <v>18.5</v>
      </c>
      <c r="G1552" s="87">
        <v>18</v>
      </c>
      <c r="H1552" s="89">
        <v>-26.208600000000001</v>
      </c>
      <c r="I1552" s="88">
        <v>26.93</v>
      </c>
      <c r="J1552" s="89" t="s">
        <v>1</v>
      </c>
      <c r="K1552" s="87">
        <v>3.6</v>
      </c>
      <c r="L1552" s="90">
        <v>2.6</v>
      </c>
      <c r="M1552" s="89">
        <v>107</v>
      </c>
      <c r="N1552" s="91" t="s">
        <v>6</v>
      </c>
      <c r="O1552" s="93" t="s">
        <v>1327</v>
      </c>
    </row>
    <row r="1553" spans="1:15" ht="31.5" x14ac:dyDescent="0.25">
      <c r="A1553">
        <v>9898</v>
      </c>
      <c r="B1553" s="87">
        <v>24</v>
      </c>
      <c r="C1553" s="82" t="s">
        <v>569</v>
      </c>
      <c r="D1553">
        <v>2018</v>
      </c>
      <c r="E1553" s="87">
        <v>28</v>
      </c>
      <c r="F1553" s="88">
        <v>35.380000000000003</v>
      </c>
      <c r="G1553" s="87">
        <v>20</v>
      </c>
      <c r="H1553" s="89">
        <v>6.2954999999999997</v>
      </c>
      <c r="I1553" s="88">
        <v>-4.7027000000000001</v>
      </c>
      <c r="J1553" s="89" t="s">
        <v>1</v>
      </c>
      <c r="K1553" s="87">
        <v>4.0999999999999996</v>
      </c>
      <c r="L1553" s="90"/>
      <c r="M1553" s="89">
        <v>152</v>
      </c>
      <c r="N1553" s="91" t="s">
        <v>1310</v>
      </c>
      <c r="O1553" s="93" t="s">
        <v>1328</v>
      </c>
    </row>
    <row r="1554" spans="1:15" ht="31.5" x14ac:dyDescent="0.25">
      <c r="A1554">
        <v>9899</v>
      </c>
      <c r="B1554" s="87">
        <v>24</v>
      </c>
      <c r="C1554" s="82" t="s">
        <v>569</v>
      </c>
      <c r="D1554">
        <v>2018</v>
      </c>
      <c r="E1554" s="87">
        <v>2</v>
      </c>
      <c r="F1554" s="88">
        <v>33.19</v>
      </c>
      <c r="G1554" s="87">
        <v>21</v>
      </c>
      <c r="H1554" s="89">
        <v>13.2315</v>
      </c>
      <c r="I1554" s="88">
        <v>39.849899999999998</v>
      </c>
      <c r="J1554" s="89" t="s">
        <v>1</v>
      </c>
      <c r="K1554" s="87">
        <v>3.8</v>
      </c>
      <c r="L1554" s="90"/>
      <c r="M1554" s="89">
        <v>22</v>
      </c>
      <c r="N1554" s="91" t="s">
        <v>57</v>
      </c>
      <c r="O1554" s="93" t="s">
        <v>1325</v>
      </c>
    </row>
    <row r="1555" spans="1:15" ht="15.75" x14ac:dyDescent="0.25">
      <c r="A1555">
        <v>9900</v>
      </c>
      <c r="B1555" s="87">
        <v>25</v>
      </c>
      <c r="C1555" s="82" t="s">
        <v>569</v>
      </c>
      <c r="D1555">
        <v>2018</v>
      </c>
      <c r="E1555" s="87">
        <v>9</v>
      </c>
      <c r="F1555" s="88">
        <v>47.46</v>
      </c>
      <c r="G1555" s="87">
        <v>5</v>
      </c>
      <c r="H1555" s="89">
        <v>37.098399999999998</v>
      </c>
      <c r="I1555" s="88">
        <v>9.0403000000000002</v>
      </c>
      <c r="J1555" s="89" t="s">
        <v>1</v>
      </c>
      <c r="K1555" s="87">
        <v>4.0999999999999996</v>
      </c>
      <c r="L1555" s="90"/>
      <c r="M1555" s="89">
        <v>88</v>
      </c>
      <c r="N1555" s="91" t="s">
        <v>2</v>
      </c>
      <c r="O1555" s="93" t="s">
        <v>1329</v>
      </c>
    </row>
    <row r="1556" spans="1:15" ht="15.75" x14ac:dyDescent="0.25">
      <c r="A1556">
        <v>9901</v>
      </c>
      <c r="B1556" s="87">
        <v>25</v>
      </c>
      <c r="C1556" s="82" t="s">
        <v>569</v>
      </c>
      <c r="D1556">
        <v>2018</v>
      </c>
      <c r="E1556" s="87">
        <v>47</v>
      </c>
      <c r="F1556" s="88">
        <v>0.66</v>
      </c>
      <c r="G1556" s="87">
        <v>13</v>
      </c>
      <c r="H1556" s="89">
        <v>5.9954999999999998</v>
      </c>
      <c r="I1556" s="88">
        <v>-9.6423000000000005</v>
      </c>
      <c r="J1556" s="89" t="s">
        <v>1</v>
      </c>
      <c r="K1556" s="87">
        <v>3.9</v>
      </c>
      <c r="L1556" s="90">
        <v>3</v>
      </c>
      <c r="M1556" s="89">
        <v>152</v>
      </c>
      <c r="N1556" s="91" t="s">
        <v>1330</v>
      </c>
      <c r="O1556" s="93" t="s">
        <v>1331</v>
      </c>
    </row>
    <row r="1557" spans="1:15" ht="15.75" x14ac:dyDescent="0.25">
      <c r="A1557">
        <v>9902</v>
      </c>
      <c r="B1557" s="87">
        <v>26</v>
      </c>
      <c r="C1557" s="82" t="s">
        <v>569</v>
      </c>
      <c r="D1557">
        <v>2018</v>
      </c>
      <c r="E1557" s="87">
        <v>11</v>
      </c>
      <c r="F1557" s="88">
        <v>52.16</v>
      </c>
      <c r="G1557" s="87">
        <v>4</v>
      </c>
      <c r="H1557" s="89">
        <v>29.154900000000001</v>
      </c>
      <c r="I1557" s="88">
        <v>30.768000000000001</v>
      </c>
      <c r="J1557" s="89" t="s">
        <v>1</v>
      </c>
      <c r="K1557" s="87">
        <v>3.8</v>
      </c>
      <c r="L1557" s="90"/>
      <c r="M1557" s="89">
        <v>143</v>
      </c>
      <c r="N1557" s="91" t="s">
        <v>72</v>
      </c>
      <c r="O1557" s="93" t="s">
        <v>1332</v>
      </c>
    </row>
    <row r="1558" spans="1:15" ht="63" x14ac:dyDescent="0.25">
      <c r="A1558">
        <v>9903</v>
      </c>
      <c r="B1558" s="87">
        <v>26</v>
      </c>
      <c r="C1558" s="82" t="s">
        <v>569</v>
      </c>
      <c r="D1558">
        <v>2018</v>
      </c>
      <c r="E1558" s="87">
        <v>1</v>
      </c>
      <c r="F1558" s="88">
        <v>3.63</v>
      </c>
      <c r="G1558" s="87">
        <v>8</v>
      </c>
      <c r="H1558" s="89">
        <v>-26.784500000000001</v>
      </c>
      <c r="I1558" s="88">
        <v>25.0181</v>
      </c>
      <c r="J1558" s="89" t="s">
        <v>1</v>
      </c>
      <c r="K1558" s="87">
        <v>4.2</v>
      </c>
      <c r="L1558" s="90"/>
      <c r="M1558" s="89">
        <v>71</v>
      </c>
      <c r="N1558" s="91" t="s">
        <v>6</v>
      </c>
      <c r="O1558" s="93" t="s">
        <v>1324</v>
      </c>
    </row>
    <row r="1559" spans="1:15" ht="63" x14ac:dyDescent="0.25">
      <c r="A1559">
        <v>9904</v>
      </c>
      <c r="B1559" s="87">
        <v>26</v>
      </c>
      <c r="C1559" s="82" t="s">
        <v>569</v>
      </c>
      <c r="D1559">
        <v>2018</v>
      </c>
      <c r="E1559" s="87">
        <v>31</v>
      </c>
      <c r="F1559" s="88">
        <v>54.71</v>
      </c>
      <c r="G1559" s="87">
        <v>10</v>
      </c>
      <c r="H1559" s="89">
        <v>-26.694500000000001</v>
      </c>
      <c r="I1559" s="88">
        <v>28.758299999999998</v>
      </c>
      <c r="J1559" s="89" t="s">
        <v>1</v>
      </c>
      <c r="K1559" s="87">
        <v>4.3</v>
      </c>
      <c r="L1559" s="90">
        <v>2.5</v>
      </c>
      <c r="M1559" s="89">
        <v>167</v>
      </c>
      <c r="N1559" s="91" t="s">
        <v>6</v>
      </c>
      <c r="O1559" s="93" t="s">
        <v>1333</v>
      </c>
    </row>
    <row r="1560" spans="1:15" ht="31.5" x14ac:dyDescent="0.25">
      <c r="A1560">
        <v>9905</v>
      </c>
      <c r="B1560" s="87">
        <v>26</v>
      </c>
      <c r="C1560" s="82" t="s">
        <v>569</v>
      </c>
      <c r="D1560">
        <v>2018</v>
      </c>
      <c r="E1560" s="87">
        <v>0</v>
      </c>
      <c r="F1560" s="88">
        <v>17.96</v>
      </c>
      <c r="G1560" s="87">
        <v>12</v>
      </c>
      <c r="H1560" s="89">
        <v>12.9125</v>
      </c>
      <c r="I1560" s="88">
        <v>0.1391</v>
      </c>
      <c r="J1560" s="89" t="s">
        <v>1</v>
      </c>
      <c r="K1560" s="87">
        <v>3.9</v>
      </c>
      <c r="L1560" s="90"/>
      <c r="M1560" s="89">
        <v>171</v>
      </c>
      <c r="N1560" s="91" t="s">
        <v>1334</v>
      </c>
      <c r="O1560" s="93" t="s">
        <v>1335</v>
      </c>
    </row>
    <row r="1561" spans="1:15" ht="15.75" x14ac:dyDescent="0.25">
      <c r="A1561">
        <v>9906</v>
      </c>
      <c r="B1561" s="87">
        <v>27</v>
      </c>
      <c r="C1561" s="82" t="s">
        <v>569</v>
      </c>
      <c r="D1561">
        <v>2018</v>
      </c>
      <c r="E1561" s="87">
        <v>44</v>
      </c>
      <c r="F1561" s="88">
        <v>22.25</v>
      </c>
      <c r="G1561" s="87">
        <v>9</v>
      </c>
      <c r="H1561" s="89">
        <v>35.063899999999997</v>
      </c>
      <c r="I1561" s="88">
        <v>10.8093</v>
      </c>
      <c r="J1561" s="89" t="s">
        <v>1</v>
      </c>
      <c r="K1561" s="87">
        <v>3.9</v>
      </c>
      <c r="L1561" s="90"/>
      <c r="M1561" s="89">
        <v>65</v>
      </c>
      <c r="N1561" s="91" t="s">
        <v>2</v>
      </c>
      <c r="O1561" s="93" t="s">
        <v>1336</v>
      </c>
    </row>
    <row r="1562" spans="1:15" ht="63" x14ac:dyDescent="0.25">
      <c r="A1562">
        <v>9907</v>
      </c>
      <c r="B1562" s="87">
        <v>27</v>
      </c>
      <c r="C1562" s="82" t="s">
        <v>569</v>
      </c>
      <c r="D1562">
        <v>2018</v>
      </c>
      <c r="E1562" s="87">
        <v>32</v>
      </c>
      <c r="F1562" s="88">
        <v>26.17</v>
      </c>
      <c r="G1562" s="87">
        <v>10</v>
      </c>
      <c r="H1562" s="89">
        <v>-28.518799999999999</v>
      </c>
      <c r="I1562" s="88">
        <v>25.219100000000001</v>
      </c>
      <c r="J1562" s="89" t="s">
        <v>1</v>
      </c>
      <c r="K1562" s="87">
        <v>4.2</v>
      </c>
      <c r="L1562" s="90"/>
      <c r="M1562" s="89">
        <v>162</v>
      </c>
      <c r="N1562" s="91" t="s">
        <v>6</v>
      </c>
      <c r="O1562" s="93" t="s">
        <v>1337</v>
      </c>
    </row>
    <row r="1563" spans="1:15" ht="63" x14ac:dyDescent="0.25">
      <c r="A1563">
        <v>9908</v>
      </c>
      <c r="B1563" s="87">
        <v>27</v>
      </c>
      <c r="C1563" s="82" t="s">
        <v>569</v>
      </c>
      <c r="D1563">
        <v>2018</v>
      </c>
      <c r="E1563" s="87">
        <v>19</v>
      </c>
      <c r="F1563" s="88">
        <v>49.44</v>
      </c>
      <c r="G1563" s="87">
        <v>15</v>
      </c>
      <c r="H1563" s="89">
        <v>-28.334599999999998</v>
      </c>
      <c r="I1563" s="88">
        <v>25.423100000000002</v>
      </c>
      <c r="J1563" s="89" t="s">
        <v>1</v>
      </c>
      <c r="K1563" s="87">
        <v>4.5</v>
      </c>
      <c r="L1563" s="90"/>
      <c r="M1563" s="89">
        <v>118</v>
      </c>
      <c r="N1563" s="91" t="s">
        <v>6</v>
      </c>
      <c r="O1563" s="93" t="s">
        <v>789</v>
      </c>
    </row>
    <row r="1564" spans="1:15" ht="63" x14ac:dyDescent="0.25">
      <c r="A1564">
        <v>9909</v>
      </c>
      <c r="B1564" s="87">
        <v>27</v>
      </c>
      <c r="C1564" s="82" t="s">
        <v>569</v>
      </c>
      <c r="D1564">
        <v>2018</v>
      </c>
      <c r="E1564" s="87">
        <v>18</v>
      </c>
      <c r="F1564" s="88">
        <v>57.89</v>
      </c>
      <c r="G1564" s="87">
        <v>16</v>
      </c>
      <c r="H1564" s="89">
        <v>-26.793299999999999</v>
      </c>
      <c r="I1564" s="88">
        <v>29.349699999999999</v>
      </c>
      <c r="J1564" s="89" t="s">
        <v>1</v>
      </c>
      <c r="K1564" s="87">
        <v>4.2</v>
      </c>
      <c r="L1564" s="90">
        <v>2.8</v>
      </c>
      <c r="M1564" s="89">
        <v>134</v>
      </c>
      <c r="N1564" s="91" t="s">
        <v>6</v>
      </c>
      <c r="O1564" s="93" t="s">
        <v>936</v>
      </c>
    </row>
    <row r="1565" spans="1:15" ht="63" x14ac:dyDescent="0.25">
      <c r="A1565">
        <v>9910</v>
      </c>
      <c r="B1565" s="87">
        <v>27</v>
      </c>
      <c r="C1565" s="82" t="s">
        <v>569</v>
      </c>
      <c r="D1565">
        <v>2018</v>
      </c>
      <c r="E1565" s="87">
        <v>35</v>
      </c>
      <c r="F1565" s="88">
        <v>25.49</v>
      </c>
      <c r="G1565" s="87">
        <v>16</v>
      </c>
      <c r="H1565" s="89">
        <v>-26.766300000000001</v>
      </c>
      <c r="I1565" s="88">
        <v>29.7715</v>
      </c>
      <c r="J1565" s="89" t="s">
        <v>1</v>
      </c>
      <c r="K1565" s="87">
        <v>4.3</v>
      </c>
      <c r="L1565" s="90">
        <v>2.9</v>
      </c>
      <c r="M1565" s="89">
        <v>147</v>
      </c>
      <c r="N1565" s="91" t="s">
        <v>6</v>
      </c>
      <c r="O1565" s="93" t="s">
        <v>936</v>
      </c>
    </row>
    <row r="1566" spans="1:15" ht="31.5" x14ac:dyDescent="0.25">
      <c r="A1566">
        <v>9911</v>
      </c>
      <c r="B1566" s="87">
        <v>28</v>
      </c>
      <c r="C1566" s="82" t="s">
        <v>569</v>
      </c>
      <c r="D1566">
        <v>2018</v>
      </c>
      <c r="E1566" s="87">
        <v>16</v>
      </c>
      <c r="F1566" s="88">
        <v>22.5</v>
      </c>
      <c r="G1566" s="87">
        <v>5</v>
      </c>
      <c r="H1566" s="89">
        <v>5.2925000000000004</v>
      </c>
      <c r="I1566" s="88">
        <v>-4.4573999999999998</v>
      </c>
      <c r="J1566" s="89" t="s">
        <v>1</v>
      </c>
      <c r="K1566" s="87">
        <v>4.3</v>
      </c>
      <c r="L1566" s="90"/>
      <c r="M1566" s="89">
        <v>90</v>
      </c>
      <c r="N1566" s="91" t="s">
        <v>1310</v>
      </c>
      <c r="O1566" s="93" t="s">
        <v>1338</v>
      </c>
    </row>
    <row r="1567" spans="1:15" ht="63" x14ac:dyDescent="0.25">
      <c r="A1567">
        <v>9912</v>
      </c>
      <c r="B1567" s="87">
        <v>28</v>
      </c>
      <c r="C1567" s="82" t="s">
        <v>569</v>
      </c>
      <c r="D1567">
        <v>2018</v>
      </c>
      <c r="E1567" s="87">
        <v>22</v>
      </c>
      <c r="F1567" s="88">
        <v>5.53</v>
      </c>
      <c r="G1567" s="87">
        <v>6</v>
      </c>
      <c r="H1567" s="89">
        <v>-26.494700000000002</v>
      </c>
      <c r="I1567" s="88">
        <v>27.308800000000002</v>
      </c>
      <c r="J1567" s="89" t="s">
        <v>1</v>
      </c>
      <c r="K1567" s="87">
        <v>4.0999999999999996</v>
      </c>
      <c r="L1567" s="90"/>
      <c r="M1567" s="89">
        <v>122</v>
      </c>
      <c r="N1567" s="91" t="s">
        <v>6</v>
      </c>
      <c r="O1567" s="93" t="s">
        <v>803</v>
      </c>
    </row>
    <row r="1568" spans="1:15" ht="63" x14ac:dyDescent="0.25">
      <c r="A1568">
        <v>9913</v>
      </c>
      <c r="B1568" s="87">
        <v>28</v>
      </c>
      <c r="C1568" s="82" t="s">
        <v>569</v>
      </c>
      <c r="D1568">
        <v>2018</v>
      </c>
      <c r="E1568" s="87">
        <v>40</v>
      </c>
      <c r="F1568" s="88">
        <v>38.65</v>
      </c>
      <c r="G1568" s="87">
        <v>12</v>
      </c>
      <c r="H1568" s="89">
        <v>-27.474299999999999</v>
      </c>
      <c r="I1568" s="88">
        <v>23.545200000000001</v>
      </c>
      <c r="J1568" s="89" t="s">
        <v>1</v>
      </c>
      <c r="K1568" s="87">
        <v>4.0999999999999996</v>
      </c>
      <c r="L1568" s="90"/>
      <c r="M1568" s="89">
        <v>47</v>
      </c>
      <c r="N1568" s="91" t="s">
        <v>6</v>
      </c>
      <c r="O1568" s="93" t="s">
        <v>923</v>
      </c>
    </row>
    <row r="1569" spans="1:15" ht="31.5" x14ac:dyDescent="0.25">
      <c r="A1569">
        <v>9914</v>
      </c>
      <c r="B1569" s="87">
        <v>28</v>
      </c>
      <c r="C1569" s="82" t="s">
        <v>569</v>
      </c>
      <c r="D1569">
        <v>2018</v>
      </c>
      <c r="E1569" s="87">
        <v>51</v>
      </c>
      <c r="F1569" s="88">
        <v>9.6300000000000008</v>
      </c>
      <c r="G1569" s="87">
        <v>17</v>
      </c>
      <c r="H1569" s="89">
        <v>5.2911999999999999</v>
      </c>
      <c r="I1569" s="88">
        <v>-4.6458000000000004</v>
      </c>
      <c r="J1569" s="89" t="s">
        <v>1</v>
      </c>
      <c r="K1569" s="87">
        <v>4.2</v>
      </c>
      <c r="L1569" s="90"/>
      <c r="M1569" s="89">
        <v>58</v>
      </c>
      <c r="N1569" s="91" t="s">
        <v>1310</v>
      </c>
      <c r="O1569" s="93" t="s">
        <v>1339</v>
      </c>
    </row>
    <row r="1570" spans="1:15" ht="31.5" x14ac:dyDescent="0.25">
      <c r="A1570">
        <v>9915</v>
      </c>
      <c r="B1570" s="87">
        <v>29</v>
      </c>
      <c r="C1570" s="82" t="s">
        <v>569</v>
      </c>
      <c r="D1570">
        <v>2018</v>
      </c>
      <c r="E1570" s="87">
        <v>35</v>
      </c>
      <c r="F1570" s="88">
        <v>17.309999999999999</v>
      </c>
      <c r="G1570" s="87">
        <v>4</v>
      </c>
      <c r="H1570" s="89">
        <v>6.6680000000000001</v>
      </c>
      <c r="I1570" s="88">
        <v>-3.4971000000000001</v>
      </c>
      <c r="J1570" s="89" t="s">
        <v>1</v>
      </c>
      <c r="K1570" s="87">
        <v>4.0999999999999996</v>
      </c>
      <c r="L1570" s="90"/>
      <c r="M1570" s="89">
        <v>161</v>
      </c>
      <c r="N1570" s="91" t="s">
        <v>1310</v>
      </c>
      <c r="O1570" s="93" t="s">
        <v>1340</v>
      </c>
    </row>
    <row r="1571" spans="1:15" ht="15.75" x14ac:dyDescent="0.25">
      <c r="A1571">
        <v>9916</v>
      </c>
      <c r="B1571" s="87">
        <v>29</v>
      </c>
      <c r="C1571" s="82" t="s">
        <v>569</v>
      </c>
      <c r="D1571">
        <v>2018</v>
      </c>
      <c r="E1571" s="87">
        <v>13</v>
      </c>
      <c r="F1571" s="88">
        <v>17.420000000000002</v>
      </c>
      <c r="G1571" s="87">
        <v>5</v>
      </c>
      <c r="H1571" s="89">
        <v>13.8756</v>
      </c>
      <c r="I1571" s="88">
        <v>1.5450999999999999</v>
      </c>
      <c r="J1571" s="89" t="s">
        <v>1</v>
      </c>
      <c r="K1571" s="87">
        <v>3.9</v>
      </c>
      <c r="L1571" s="90"/>
      <c r="M1571" s="89">
        <v>83</v>
      </c>
      <c r="N1571" s="91" t="s">
        <v>804</v>
      </c>
      <c r="O1571" s="93" t="s">
        <v>1341</v>
      </c>
    </row>
    <row r="1572" spans="1:15" ht="15.75" x14ac:dyDescent="0.25">
      <c r="A1572">
        <v>9917</v>
      </c>
      <c r="B1572" s="87">
        <v>29</v>
      </c>
      <c r="C1572" s="82" t="s">
        <v>569</v>
      </c>
      <c r="D1572">
        <v>2018</v>
      </c>
      <c r="E1572" s="87">
        <v>3</v>
      </c>
      <c r="F1572" s="88">
        <v>29.84</v>
      </c>
      <c r="G1572" s="87">
        <v>12</v>
      </c>
      <c r="H1572" s="89">
        <v>-1.5653999999999999</v>
      </c>
      <c r="I1572" s="88">
        <v>36.002200000000002</v>
      </c>
      <c r="J1572" s="89" t="s">
        <v>1</v>
      </c>
      <c r="K1572" s="87">
        <v>4.5</v>
      </c>
      <c r="L1572" s="90"/>
      <c r="M1572" s="89">
        <v>170</v>
      </c>
      <c r="N1572" s="91" t="s">
        <v>13</v>
      </c>
      <c r="O1572" s="93" t="s">
        <v>870</v>
      </c>
    </row>
    <row r="1573" spans="1:15" ht="31.5" x14ac:dyDescent="0.25">
      <c r="A1573">
        <v>9918</v>
      </c>
      <c r="B1573" s="87">
        <v>29</v>
      </c>
      <c r="C1573" s="82" t="s">
        <v>569</v>
      </c>
      <c r="D1573">
        <v>2018</v>
      </c>
      <c r="E1573" s="87">
        <v>55</v>
      </c>
      <c r="F1573" s="88">
        <v>45.14</v>
      </c>
      <c r="G1573" s="87">
        <v>12</v>
      </c>
      <c r="H1573" s="89">
        <v>17.990400000000001</v>
      </c>
      <c r="I1573" s="88">
        <v>-5.9866999999999999</v>
      </c>
      <c r="J1573" s="89" t="s">
        <v>1</v>
      </c>
      <c r="K1573" s="87">
        <v>3.7</v>
      </c>
      <c r="L1573" s="90"/>
      <c r="M1573" s="89">
        <v>38</v>
      </c>
      <c r="N1573" s="91" t="s">
        <v>799</v>
      </c>
      <c r="O1573" s="93" t="s">
        <v>1342</v>
      </c>
    </row>
    <row r="1574" spans="1:15" ht="63" x14ac:dyDescent="0.25">
      <c r="A1574">
        <v>9919</v>
      </c>
      <c r="B1574" s="87">
        <v>29</v>
      </c>
      <c r="C1574" s="82" t="s">
        <v>569</v>
      </c>
      <c r="D1574">
        <v>2018</v>
      </c>
      <c r="E1574" s="87">
        <v>6</v>
      </c>
      <c r="F1574" s="88">
        <v>41.33</v>
      </c>
      <c r="G1574" s="87">
        <v>16</v>
      </c>
      <c r="H1574" s="89">
        <v>-25.3065</v>
      </c>
      <c r="I1574" s="88">
        <v>29.482099999999999</v>
      </c>
      <c r="J1574" s="89" t="s">
        <v>1</v>
      </c>
      <c r="K1574" s="87"/>
      <c r="L1574" s="90">
        <v>3</v>
      </c>
      <c r="M1574" s="89">
        <v>137</v>
      </c>
      <c r="N1574" s="91" t="s">
        <v>6</v>
      </c>
      <c r="O1574" s="93" t="s">
        <v>1343</v>
      </c>
    </row>
    <row r="1575" spans="1:15" ht="15.75" x14ac:dyDescent="0.25">
      <c r="A1575">
        <v>9920</v>
      </c>
      <c r="B1575" s="87">
        <v>30</v>
      </c>
      <c r="C1575" s="82" t="s">
        <v>569</v>
      </c>
      <c r="D1575">
        <v>2018</v>
      </c>
      <c r="E1575" s="87">
        <v>29</v>
      </c>
      <c r="F1575" s="88">
        <v>44.12</v>
      </c>
      <c r="G1575" s="87">
        <v>3</v>
      </c>
      <c r="H1575" s="89">
        <v>28.998100000000001</v>
      </c>
      <c r="I1575" s="88">
        <v>20.5505</v>
      </c>
      <c r="J1575" s="89" t="s">
        <v>1</v>
      </c>
      <c r="K1575" s="87">
        <v>4.0999999999999996</v>
      </c>
      <c r="L1575" s="90"/>
      <c r="M1575" s="89">
        <v>136</v>
      </c>
      <c r="N1575" s="91" t="s">
        <v>48</v>
      </c>
      <c r="O1575" s="93" t="s">
        <v>1344</v>
      </c>
    </row>
    <row r="1576" spans="1:15" ht="63" x14ac:dyDescent="0.25">
      <c r="A1576">
        <v>9921</v>
      </c>
      <c r="B1576" s="87">
        <v>30</v>
      </c>
      <c r="C1576" s="82" t="s">
        <v>569</v>
      </c>
      <c r="D1576">
        <v>2018</v>
      </c>
      <c r="E1576" s="87">
        <v>33</v>
      </c>
      <c r="F1576" s="88">
        <v>22.87</v>
      </c>
      <c r="G1576" s="87">
        <v>9</v>
      </c>
      <c r="H1576" s="89">
        <v>-27.304099999999998</v>
      </c>
      <c r="I1576" s="88">
        <v>27.836500000000001</v>
      </c>
      <c r="J1576" s="89" t="s">
        <v>1</v>
      </c>
      <c r="K1576" s="87">
        <v>3.7</v>
      </c>
      <c r="L1576" s="90">
        <v>4.0999999999999996</v>
      </c>
      <c r="M1576" s="89">
        <v>137</v>
      </c>
      <c r="N1576" s="91" t="s">
        <v>6</v>
      </c>
      <c r="O1576" s="93" t="s">
        <v>1345</v>
      </c>
    </row>
    <row r="1577" spans="1:15" ht="63" x14ac:dyDescent="0.25">
      <c r="A1577">
        <v>9922</v>
      </c>
      <c r="B1577" s="87">
        <v>30</v>
      </c>
      <c r="C1577" s="82" t="s">
        <v>569</v>
      </c>
      <c r="D1577">
        <v>2018</v>
      </c>
      <c r="E1577" s="87">
        <v>53</v>
      </c>
      <c r="F1577" s="88">
        <v>50.29</v>
      </c>
      <c r="G1577" s="87">
        <v>11</v>
      </c>
      <c r="H1577" s="89">
        <v>-24.2773</v>
      </c>
      <c r="I1577" s="88">
        <v>29.386500000000002</v>
      </c>
      <c r="J1577" s="89" t="s">
        <v>1</v>
      </c>
      <c r="K1577" s="87">
        <v>4.0999999999999996</v>
      </c>
      <c r="L1577" s="90">
        <v>3.3</v>
      </c>
      <c r="M1577" s="89">
        <v>115</v>
      </c>
      <c r="N1577" s="91" t="s">
        <v>6</v>
      </c>
      <c r="O1577" s="93" t="s">
        <v>1346</v>
      </c>
    </row>
    <row r="1578" spans="1:15" ht="31.5" x14ac:dyDescent="0.25">
      <c r="A1578">
        <v>9923</v>
      </c>
      <c r="B1578" s="87">
        <v>30</v>
      </c>
      <c r="C1578" s="82" t="s">
        <v>569</v>
      </c>
      <c r="D1578">
        <v>2018</v>
      </c>
      <c r="E1578" s="87">
        <v>8</v>
      </c>
      <c r="F1578" s="88">
        <v>31.85</v>
      </c>
      <c r="G1578" s="87">
        <v>17</v>
      </c>
      <c r="H1578" s="89">
        <v>23.356000000000002</v>
      </c>
      <c r="I1578" s="88">
        <v>-11.416700000000001</v>
      </c>
      <c r="J1578" s="89" t="s">
        <v>1</v>
      </c>
      <c r="K1578" s="87">
        <v>3.6</v>
      </c>
      <c r="L1578" s="90">
        <v>3.6</v>
      </c>
      <c r="M1578" s="89">
        <v>68</v>
      </c>
      <c r="N1578" s="91" t="s">
        <v>799</v>
      </c>
      <c r="O1578" s="93" t="s">
        <v>800</v>
      </c>
    </row>
    <row r="1579" spans="1:15" ht="31.5" x14ac:dyDescent="0.25">
      <c r="A1579">
        <v>9924</v>
      </c>
      <c r="B1579" s="87">
        <v>31</v>
      </c>
      <c r="C1579" s="82" t="s">
        <v>569</v>
      </c>
      <c r="D1579">
        <v>2018</v>
      </c>
      <c r="E1579" s="87">
        <v>35</v>
      </c>
      <c r="F1579" s="88">
        <v>9.68</v>
      </c>
      <c r="G1579" s="87">
        <v>18</v>
      </c>
      <c r="H1579" s="89">
        <v>19.8172</v>
      </c>
      <c r="I1579" s="88">
        <v>-13.8194</v>
      </c>
      <c r="J1579" s="89" t="s">
        <v>1</v>
      </c>
      <c r="K1579" s="87">
        <v>4</v>
      </c>
      <c r="L1579" s="90"/>
      <c r="M1579" s="89">
        <v>130</v>
      </c>
      <c r="N1579" s="91" t="s">
        <v>799</v>
      </c>
      <c r="O1579" s="93" t="s">
        <v>1347</v>
      </c>
    </row>
    <row r="1580" spans="1:15" ht="31.5" x14ac:dyDescent="0.25">
      <c r="A1580">
        <v>9925</v>
      </c>
      <c r="B1580" s="87">
        <v>31</v>
      </c>
      <c r="C1580" s="82" t="s">
        <v>569</v>
      </c>
      <c r="D1580">
        <v>2018</v>
      </c>
      <c r="E1580" s="87">
        <v>52</v>
      </c>
      <c r="F1580" s="88">
        <v>39.840000000000003</v>
      </c>
      <c r="G1580" s="87">
        <v>19</v>
      </c>
      <c r="H1580" s="89">
        <v>14.103899999999999</v>
      </c>
      <c r="I1580" s="88">
        <v>-14.300700000000001</v>
      </c>
      <c r="J1580" s="89" t="s">
        <v>1</v>
      </c>
      <c r="K1580" s="87">
        <v>4.0999999999999996</v>
      </c>
      <c r="L1580" s="90">
        <v>3.2</v>
      </c>
      <c r="M1580" s="89">
        <v>34</v>
      </c>
      <c r="N1580" s="91" t="s">
        <v>1306</v>
      </c>
      <c r="O1580" s="93" t="s">
        <v>1348</v>
      </c>
    </row>
    <row r="1581" spans="1:15" ht="31.5" x14ac:dyDescent="0.25">
      <c r="A1581">
        <v>9926</v>
      </c>
      <c r="B1581" s="94">
        <v>2</v>
      </c>
      <c r="C1581" s="21" t="s">
        <v>605</v>
      </c>
      <c r="D1581">
        <v>2018</v>
      </c>
      <c r="E1581" s="94">
        <v>9</v>
      </c>
      <c r="F1581" s="95">
        <v>49.87</v>
      </c>
      <c r="G1581" s="94">
        <v>4</v>
      </c>
      <c r="H1581" s="96">
        <v>-30.418199999999999</v>
      </c>
      <c r="I1581" s="95">
        <v>28.1464</v>
      </c>
      <c r="J1581" s="96" t="s">
        <v>1</v>
      </c>
      <c r="K1581" s="94">
        <v>3.8</v>
      </c>
      <c r="L1581" s="97">
        <v>2.2999999999999998</v>
      </c>
      <c r="M1581" s="96">
        <v>44</v>
      </c>
      <c r="N1581" s="98" t="s">
        <v>614</v>
      </c>
      <c r="O1581" s="99" t="s">
        <v>1349</v>
      </c>
    </row>
    <row r="1582" spans="1:15" ht="47.25" x14ac:dyDescent="0.25">
      <c r="A1582">
        <v>9927</v>
      </c>
      <c r="B1582" s="94">
        <v>2</v>
      </c>
      <c r="C1582" s="21" t="s">
        <v>605</v>
      </c>
      <c r="D1582">
        <v>2018</v>
      </c>
      <c r="E1582" s="94">
        <v>2</v>
      </c>
      <c r="F1582" s="95">
        <v>35.22</v>
      </c>
      <c r="G1582" s="94">
        <v>6</v>
      </c>
      <c r="H1582" s="96">
        <v>29.6632</v>
      </c>
      <c r="I1582" s="95">
        <v>31.340900000000001</v>
      </c>
      <c r="J1582" s="96" t="s">
        <v>1</v>
      </c>
      <c r="K1582" s="94">
        <v>4</v>
      </c>
      <c r="L1582" s="97">
        <v>3.9</v>
      </c>
      <c r="M1582" s="96">
        <v>176</v>
      </c>
      <c r="N1582" s="98" t="s">
        <v>72</v>
      </c>
      <c r="O1582" s="99" t="s">
        <v>282</v>
      </c>
    </row>
    <row r="1583" spans="1:15" ht="15.75" x14ac:dyDescent="0.25">
      <c r="A1583">
        <v>9928</v>
      </c>
      <c r="B1583" s="94">
        <v>2</v>
      </c>
      <c r="C1583" s="21" t="s">
        <v>605</v>
      </c>
      <c r="D1583">
        <v>2018</v>
      </c>
      <c r="E1583" s="94">
        <v>22</v>
      </c>
      <c r="F1583" s="95">
        <v>57.26</v>
      </c>
      <c r="G1583" s="94">
        <v>6</v>
      </c>
      <c r="H1583" s="96">
        <v>19.582599999999999</v>
      </c>
      <c r="I1583" s="95">
        <v>8.7479999999999993</v>
      </c>
      <c r="J1583" s="96" t="s">
        <v>1</v>
      </c>
      <c r="K1583" s="94">
        <v>4</v>
      </c>
      <c r="L1583" s="97">
        <v>2.8</v>
      </c>
      <c r="M1583" s="96">
        <v>128</v>
      </c>
      <c r="N1583" s="98" t="s">
        <v>804</v>
      </c>
      <c r="O1583" s="99" t="s">
        <v>1350</v>
      </c>
    </row>
    <row r="1584" spans="1:15" ht="63" x14ac:dyDescent="0.25">
      <c r="A1584">
        <v>9929</v>
      </c>
      <c r="B1584" s="94">
        <v>2</v>
      </c>
      <c r="C1584" s="21" t="s">
        <v>605</v>
      </c>
      <c r="D1584">
        <v>2018</v>
      </c>
      <c r="E1584" s="94">
        <v>18</v>
      </c>
      <c r="F1584" s="95">
        <v>53.42</v>
      </c>
      <c r="G1584" s="94">
        <v>7</v>
      </c>
      <c r="H1584" s="96">
        <v>-26.934899999999999</v>
      </c>
      <c r="I1584" s="95">
        <v>29.727599999999999</v>
      </c>
      <c r="J1584" s="96" t="s">
        <v>1</v>
      </c>
      <c r="K1584" s="94">
        <v>4.0999999999999996</v>
      </c>
      <c r="L1584" s="97">
        <v>3.1</v>
      </c>
      <c r="M1584" s="96">
        <v>175</v>
      </c>
      <c r="N1584" s="98" t="s">
        <v>6</v>
      </c>
      <c r="O1584" s="99" t="s">
        <v>1351</v>
      </c>
    </row>
    <row r="1585" spans="1:15" ht="31.5" x14ac:dyDescent="0.25">
      <c r="A1585">
        <v>9930</v>
      </c>
      <c r="B1585" s="94">
        <v>2</v>
      </c>
      <c r="C1585" s="21" t="s">
        <v>605</v>
      </c>
      <c r="D1585">
        <v>2018</v>
      </c>
      <c r="E1585" s="94">
        <v>24</v>
      </c>
      <c r="F1585" s="95">
        <v>15.37</v>
      </c>
      <c r="G1585" s="94">
        <v>10</v>
      </c>
      <c r="H1585" s="96">
        <v>35.692700000000002</v>
      </c>
      <c r="I1585" s="95">
        <v>9.3153000000000006</v>
      </c>
      <c r="J1585" s="96" t="s">
        <v>1</v>
      </c>
      <c r="K1585" s="94">
        <v>4.0999999999999996</v>
      </c>
      <c r="L1585" s="97"/>
      <c r="M1585" s="96">
        <v>33</v>
      </c>
      <c r="N1585" s="98" t="s">
        <v>2</v>
      </c>
      <c r="O1585" s="99" t="s">
        <v>1352</v>
      </c>
    </row>
    <row r="1586" spans="1:15" ht="31.5" x14ac:dyDescent="0.25">
      <c r="A1586">
        <v>9931</v>
      </c>
      <c r="B1586" s="94">
        <v>3</v>
      </c>
      <c r="C1586" s="21" t="s">
        <v>605</v>
      </c>
      <c r="D1586">
        <v>2018</v>
      </c>
      <c r="E1586" s="94">
        <v>41</v>
      </c>
      <c r="F1586" s="95">
        <v>55.79</v>
      </c>
      <c r="G1586" s="94">
        <v>6</v>
      </c>
      <c r="H1586" s="96">
        <v>5.4968000000000004</v>
      </c>
      <c r="I1586" s="95">
        <v>-5.4581999999999997</v>
      </c>
      <c r="J1586" s="96" t="s">
        <v>1</v>
      </c>
      <c r="K1586" s="94">
        <v>4.3</v>
      </c>
      <c r="L1586" s="97"/>
      <c r="M1586" s="96">
        <v>117</v>
      </c>
      <c r="N1586" s="98" t="s">
        <v>1310</v>
      </c>
      <c r="O1586" s="99" t="s">
        <v>1317</v>
      </c>
    </row>
    <row r="1587" spans="1:15" ht="31.5" x14ac:dyDescent="0.25">
      <c r="A1587">
        <v>9932</v>
      </c>
      <c r="B1587" s="94">
        <v>3</v>
      </c>
      <c r="C1587" s="21" t="s">
        <v>605</v>
      </c>
      <c r="D1587">
        <v>2018</v>
      </c>
      <c r="E1587" s="94">
        <v>6</v>
      </c>
      <c r="F1587" s="95">
        <v>3.29</v>
      </c>
      <c r="G1587" s="94">
        <v>17</v>
      </c>
      <c r="H1587" s="96">
        <v>5.6768000000000001</v>
      </c>
      <c r="I1587" s="95">
        <v>-5.8148999999999997</v>
      </c>
      <c r="J1587" s="96" t="s">
        <v>1</v>
      </c>
      <c r="K1587" s="94">
        <v>3.9</v>
      </c>
      <c r="L1587" s="97"/>
      <c r="M1587" s="96">
        <v>135</v>
      </c>
      <c r="N1587" s="98" t="s">
        <v>1310</v>
      </c>
      <c r="O1587" s="99" t="s">
        <v>1353</v>
      </c>
    </row>
    <row r="1588" spans="1:15" ht="47.25" x14ac:dyDescent="0.25">
      <c r="A1588">
        <v>9933</v>
      </c>
      <c r="B1588" s="94">
        <v>4</v>
      </c>
      <c r="C1588" s="21" t="s">
        <v>605</v>
      </c>
      <c r="D1588">
        <v>2018</v>
      </c>
      <c r="E1588" s="94">
        <v>12</v>
      </c>
      <c r="F1588" s="95">
        <v>58.22</v>
      </c>
      <c r="G1588" s="94">
        <v>5</v>
      </c>
      <c r="H1588" s="96">
        <v>35.724899999999998</v>
      </c>
      <c r="I1588" s="95">
        <v>-1.3073999999999999</v>
      </c>
      <c r="J1588" s="96" t="s">
        <v>1</v>
      </c>
      <c r="K1588" s="94">
        <v>3.7</v>
      </c>
      <c r="L1588" s="97">
        <v>3.6</v>
      </c>
      <c r="M1588" s="96">
        <v>59</v>
      </c>
      <c r="N1588" s="98" t="s">
        <v>777</v>
      </c>
      <c r="O1588" s="99" t="s">
        <v>1056</v>
      </c>
    </row>
    <row r="1589" spans="1:15" ht="31.5" x14ac:dyDescent="0.25">
      <c r="A1589">
        <v>9934</v>
      </c>
      <c r="B1589" s="94">
        <v>4</v>
      </c>
      <c r="C1589" s="21" t="s">
        <v>605</v>
      </c>
      <c r="D1589">
        <v>2018</v>
      </c>
      <c r="E1589" s="94">
        <v>16</v>
      </c>
      <c r="F1589" s="95">
        <v>28.62</v>
      </c>
      <c r="G1589" s="94">
        <v>16</v>
      </c>
      <c r="H1589" s="96">
        <v>25.5778</v>
      </c>
      <c r="I1589" s="95">
        <v>-0.1273</v>
      </c>
      <c r="J1589" s="96" t="s">
        <v>1</v>
      </c>
      <c r="K1589" s="94">
        <v>3.5</v>
      </c>
      <c r="L1589" s="97"/>
      <c r="M1589" s="96">
        <v>90</v>
      </c>
      <c r="N1589" s="98" t="s">
        <v>777</v>
      </c>
      <c r="O1589" s="99" t="s">
        <v>1354</v>
      </c>
    </row>
    <row r="1590" spans="1:15" ht="31.5" x14ac:dyDescent="0.25">
      <c r="A1590">
        <v>9935</v>
      </c>
      <c r="B1590" s="94">
        <v>4</v>
      </c>
      <c r="C1590" s="21" t="s">
        <v>605</v>
      </c>
      <c r="D1590">
        <v>2018</v>
      </c>
      <c r="E1590" s="94">
        <v>0</v>
      </c>
      <c r="F1590" s="95">
        <v>27.92</v>
      </c>
      <c r="G1590" s="94">
        <v>20</v>
      </c>
      <c r="H1590" s="96">
        <v>6.8183999999999996</v>
      </c>
      <c r="I1590" s="95">
        <v>-3.5125999999999999</v>
      </c>
      <c r="J1590" s="96" t="s">
        <v>1</v>
      </c>
      <c r="K1590" s="94">
        <v>4.3</v>
      </c>
      <c r="L1590" s="97"/>
      <c r="M1590" s="96">
        <v>179</v>
      </c>
      <c r="N1590" s="98" t="s">
        <v>1310</v>
      </c>
      <c r="O1590" s="99" t="s">
        <v>1340</v>
      </c>
    </row>
    <row r="1591" spans="1:15" ht="31.5" x14ac:dyDescent="0.25">
      <c r="A1591">
        <v>9936</v>
      </c>
      <c r="B1591" s="94">
        <v>4</v>
      </c>
      <c r="C1591" s="21" t="s">
        <v>605</v>
      </c>
      <c r="D1591">
        <v>2018</v>
      </c>
      <c r="E1591" s="94">
        <v>56</v>
      </c>
      <c r="F1591" s="95">
        <v>5.09</v>
      </c>
      <c r="G1591" s="94">
        <v>21</v>
      </c>
      <c r="H1591" s="96">
        <v>7.1142000000000003</v>
      </c>
      <c r="I1591" s="95">
        <v>-4.4387999999999996</v>
      </c>
      <c r="J1591" s="96" t="s">
        <v>1</v>
      </c>
      <c r="K1591" s="94">
        <v>4.0999999999999996</v>
      </c>
      <c r="L1591" s="97"/>
      <c r="M1591" s="96">
        <v>135</v>
      </c>
      <c r="N1591" s="98" t="s">
        <v>1310</v>
      </c>
      <c r="O1591" s="99" t="s">
        <v>1355</v>
      </c>
    </row>
    <row r="1592" spans="1:15" ht="63" x14ac:dyDescent="0.25">
      <c r="A1592">
        <v>9937</v>
      </c>
      <c r="B1592" s="94">
        <v>5</v>
      </c>
      <c r="C1592" s="21" t="s">
        <v>605</v>
      </c>
      <c r="D1592">
        <v>2018</v>
      </c>
      <c r="E1592" s="94">
        <v>59</v>
      </c>
      <c r="F1592" s="95">
        <v>1.55</v>
      </c>
      <c r="G1592" s="94">
        <v>3</v>
      </c>
      <c r="H1592" s="96">
        <v>-32.869500000000002</v>
      </c>
      <c r="I1592" s="95">
        <v>23.7196</v>
      </c>
      <c r="J1592" s="96" t="s">
        <v>1</v>
      </c>
      <c r="K1592" s="94">
        <v>4.5</v>
      </c>
      <c r="L1592" s="97">
        <v>2</v>
      </c>
      <c r="M1592" s="96">
        <v>93</v>
      </c>
      <c r="N1592" s="98" t="s">
        <v>6</v>
      </c>
      <c r="O1592" s="99" t="s">
        <v>1356</v>
      </c>
    </row>
    <row r="1593" spans="1:15" ht="47.25" x14ac:dyDescent="0.25">
      <c r="A1593">
        <v>9938</v>
      </c>
      <c r="B1593" s="94">
        <v>5</v>
      </c>
      <c r="C1593" s="21" t="s">
        <v>605</v>
      </c>
      <c r="D1593">
        <v>2018</v>
      </c>
      <c r="E1593" s="94">
        <v>41</v>
      </c>
      <c r="F1593" s="95">
        <v>29.68</v>
      </c>
      <c r="G1593" s="94">
        <v>10</v>
      </c>
      <c r="H1593" s="96">
        <v>26.577200000000001</v>
      </c>
      <c r="I1593" s="95">
        <v>12.4945</v>
      </c>
      <c r="J1593" s="96" t="s">
        <v>1</v>
      </c>
      <c r="K1593" s="94">
        <v>4.3</v>
      </c>
      <c r="L1593" s="97">
        <v>3.8</v>
      </c>
      <c r="M1593" s="96">
        <v>79</v>
      </c>
      <c r="N1593" s="98" t="s">
        <v>48</v>
      </c>
      <c r="O1593" s="99" t="s">
        <v>1357</v>
      </c>
    </row>
    <row r="1594" spans="1:15" ht="63" x14ac:dyDescent="0.25">
      <c r="A1594">
        <v>9939</v>
      </c>
      <c r="B1594" s="94">
        <v>5</v>
      </c>
      <c r="C1594" s="21" t="s">
        <v>605</v>
      </c>
      <c r="D1594">
        <v>2018</v>
      </c>
      <c r="E1594" s="94">
        <v>33</v>
      </c>
      <c r="F1594" s="95">
        <v>57.54</v>
      </c>
      <c r="G1594" s="94">
        <v>15</v>
      </c>
      <c r="H1594" s="96">
        <v>-26.8368</v>
      </c>
      <c r="I1594" s="95">
        <v>28.195599999999999</v>
      </c>
      <c r="J1594" s="96" t="s">
        <v>1</v>
      </c>
      <c r="K1594" s="94">
        <v>4.2</v>
      </c>
      <c r="L1594" s="97">
        <v>2.2999999999999998</v>
      </c>
      <c r="M1594" s="96">
        <v>155</v>
      </c>
      <c r="N1594" s="98" t="s">
        <v>6</v>
      </c>
      <c r="O1594" s="99" t="s">
        <v>1358</v>
      </c>
    </row>
    <row r="1595" spans="1:15" ht="47.25" x14ac:dyDescent="0.25">
      <c r="A1595">
        <v>9940</v>
      </c>
      <c r="B1595" s="94">
        <v>6</v>
      </c>
      <c r="C1595" s="21" t="s">
        <v>605</v>
      </c>
      <c r="D1595">
        <v>2018</v>
      </c>
      <c r="E1595" s="94">
        <v>14</v>
      </c>
      <c r="F1595" s="95">
        <v>58.95</v>
      </c>
      <c r="G1595" s="94">
        <v>14</v>
      </c>
      <c r="H1595" s="96">
        <v>12.060600000000001</v>
      </c>
      <c r="I1595" s="95">
        <v>-1.7250000000000001</v>
      </c>
      <c r="J1595" s="96" t="s">
        <v>1</v>
      </c>
      <c r="K1595" s="94">
        <v>4.0999999999999996</v>
      </c>
      <c r="L1595" s="97"/>
      <c r="M1595" s="96">
        <v>158</v>
      </c>
      <c r="N1595" s="98" t="s">
        <v>1334</v>
      </c>
      <c r="O1595" s="99" t="s">
        <v>1359</v>
      </c>
    </row>
    <row r="1596" spans="1:15" ht="63" x14ac:dyDescent="0.25">
      <c r="A1596">
        <v>9941</v>
      </c>
      <c r="B1596" s="94">
        <v>6</v>
      </c>
      <c r="C1596" s="21" t="s">
        <v>605</v>
      </c>
      <c r="D1596">
        <v>2018</v>
      </c>
      <c r="E1596" s="94">
        <v>20</v>
      </c>
      <c r="F1596" s="95">
        <v>11.69</v>
      </c>
      <c r="G1596" s="94">
        <v>23</v>
      </c>
      <c r="H1596" s="96">
        <v>-30.185700000000001</v>
      </c>
      <c r="I1596" s="95">
        <v>23.852599999999999</v>
      </c>
      <c r="J1596" s="96" t="s">
        <v>1</v>
      </c>
      <c r="K1596" s="94">
        <v>4.4000000000000004</v>
      </c>
      <c r="L1596" s="97"/>
      <c r="M1596" s="96">
        <v>128</v>
      </c>
      <c r="N1596" s="98" t="s">
        <v>6</v>
      </c>
      <c r="O1596" s="99" t="s">
        <v>1360</v>
      </c>
    </row>
    <row r="1597" spans="1:15" ht="31.5" x14ac:dyDescent="0.25">
      <c r="A1597">
        <v>9942</v>
      </c>
      <c r="B1597" s="94">
        <v>8</v>
      </c>
      <c r="C1597" s="21" t="s">
        <v>605</v>
      </c>
      <c r="D1597">
        <v>2018</v>
      </c>
      <c r="E1597" s="94">
        <v>0</v>
      </c>
      <c r="F1597" s="95">
        <v>16.98</v>
      </c>
      <c r="G1597" s="94">
        <v>14</v>
      </c>
      <c r="H1597" s="96">
        <v>6.4805000000000001</v>
      </c>
      <c r="I1597" s="95">
        <v>-5.6017000000000001</v>
      </c>
      <c r="J1597" s="96" t="s">
        <v>1</v>
      </c>
      <c r="K1597" s="94">
        <v>3.9</v>
      </c>
      <c r="L1597" s="97">
        <v>3</v>
      </c>
      <c r="M1597" s="96">
        <v>157</v>
      </c>
      <c r="N1597" s="98" t="s">
        <v>1310</v>
      </c>
      <c r="O1597" s="99" t="s">
        <v>1361</v>
      </c>
    </row>
    <row r="1598" spans="1:15" ht="31.5" x14ac:dyDescent="0.25">
      <c r="A1598">
        <v>9943</v>
      </c>
      <c r="B1598" s="94">
        <v>8</v>
      </c>
      <c r="C1598" s="21" t="s">
        <v>605</v>
      </c>
      <c r="D1598">
        <v>2018</v>
      </c>
      <c r="E1598" s="94">
        <v>54</v>
      </c>
      <c r="F1598" s="95">
        <v>27.49</v>
      </c>
      <c r="G1598" s="94">
        <v>19</v>
      </c>
      <c r="H1598" s="96">
        <v>0.35260000000000002</v>
      </c>
      <c r="I1598" s="95">
        <v>36.4833</v>
      </c>
      <c r="J1598" s="96" t="s">
        <v>1</v>
      </c>
      <c r="K1598" s="94">
        <v>4.2</v>
      </c>
      <c r="L1598" s="97"/>
      <c r="M1598" s="96">
        <v>118</v>
      </c>
      <c r="N1598" s="98" t="s">
        <v>13</v>
      </c>
      <c r="O1598" s="99" t="s">
        <v>1362</v>
      </c>
    </row>
    <row r="1599" spans="1:15" ht="15.75" x14ac:dyDescent="0.25">
      <c r="A1599">
        <v>9944</v>
      </c>
      <c r="B1599" s="100">
        <v>9</v>
      </c>
      <c r="C1599" s="21" t="s">
        <v>605</v>
      </c>
      <c r="D1599">
        <v>2018</v>
      </c>
      <c r="E1599" s="100">
        <v>30</v>
      </c>
      <c r="F1599" s="101">
        <v>42.78</v>
      </c>
      <c r="G1599" s="100">
        <v>0</v>
      </c>
      <c r="H1599" s="102">
        <v>8.5063999999999993</v>
      </c>
      <c r="I1599" s="101">
        <v>-2.0872000000000002</v>
      </c>
      <c r="J1599" s="102" t="s">
        <v>1</v>
      </c>
      <c r="K1599" s="100">
        <v>4.4000000000000004</v>
      </c>
      <c r="L1599" s="102">
        <v>3.6</v>
      </c>
      <c r="M1599" s="102">
        <v>138</v>
      </c>
      <c r="N1599" s="103" t="s">
        <v>1322</v>
      </c>
      <c r="O1599" s="104" t="s">
        <v>1363</v>
      </c>
    </row>
    <row r="1600" spans="1:15" ht="15.75" x14ac:dyDescent="0.25">
      <c r="A1600">
        <v>9945</v>
      </c>
      <c r="B1600" s="94">
        <v>10</v>
      </c>
      <c r="C1600" s="21" t="s">
        <v>605</v>
      </c>
      <c r="D1600">
        <v>2018</v>
      </c>
      <c r="E1600" s="94">
        <v>51</v>
      </c>
      <c r="F1600" s="95">
        <v>27.71</v>
      </c>
      <c r="G1600" s="94">
        <v>14</v>
      </c>
      <c r="H1600" s="96">
        <v>13.4445</v>
      </c>
      <c r="I1600" s="95">
        <v>-6.7953999999999999</v>
      </c>
      <c r="J1600" s="96" t="s">
        <v>1</v>
      </c>
      <c r="K1600" s="94">
        <v>3.9</v>
      </c>
      <c r="L1600" s="97"/>
      <c r="M1600" s="96">
        <v>138</v>
      </c>
      <c r="N1600" s="98" t="s">
        <v>1364</v>
      </c>
      <c r="O1600" s="99" t="s">
        <v>1365</v>
      </c>
    </row>
    <row r="1601" spans="1:15" ht="63" x14ac:dyDescent="0.25">
      <c r="A1601">
        <v>9946</v>
      </c>
      <c r="B1601" s="94">
        <v>10</v>
      </c>
      <c r="C1601" s="21" t="s">
        <v>605</v>
      </c>
      <c r="D1601">
        <v>2018</v>
      </c>
      <c r="E1601" s="94">
        <v>52</v>
      </c>
      <c r="F1601" s="95">
        <v>20.81</v>
      </c>
      <c r="G1601" s="94">
        <v>15</v>
      </c>
      <c r="H1601" s="96">
        <v>-28.145700000000001</v>
      </c>
      <c r="I1601" s="95">
        <v>23.6572</v>
      </c>
      <c r="J1601" s="96" t="s">
        <v>1</v>
      </c>
      <c r="K1601" s="94">
        <v>4.3</v>
      </c>
      <c r="L1601" s="97"/>
      <c r="M1601" s="96">
        <v>22</v>
      </c>
      <c r="N1601" s="98" t="s">
        <v>6</v>
      </c>
      <c r="O1601" s="99" t="s">
        <v>926</v>
      </c>
    </row>
    <row r="1602" spans="1:15" ht="31.5" x14ac:dyDescent="0.25">
      <c r="A1602">
        <v>9947</v>
      </c>
      <c r="B1602" s="94">
        <v>11</v>
      </c>
      <c r="C1602" s="21" t="s">
        <v>605</v>
      </c>
      <c r="D1602">
        <v>2018</v>
      </c>
      <c r="E1602" s="94">
        <v>29</v>
      </c>
      <c r="F1602" s="95">
        <v>2.99</v>
      </c>
      <c r="G1602" s="94">
        <v>10</v>
      </c>
      <c r="H1602" s="96">
        <v>30.561499999999999</v>
      </c>
      <c r="I1602" s="95">
        <v>17.9009</v>
      </c>
      <c r="J1602" s="96" t="s">
        <v>1</v>
      </c>
      <c r="K1602" s="94">
        <v>3.9</v>
      </c>
      <c r="L1602" s="97"/>
      <c r="M1602" s="96">
        <v>132</v>
      </c>
      <c r="N1602" s="98" t="s">
        <v>48</v>
      </c>
      <c r="O1602" s="99" t="s">
        <v>1366</v>
      </c>
    </row>
    <row r="1603" spans="1:15" ht="15.75" x14ac:dyDescent="0.25">
      <c r="A1603">
        <v>9948</v>
      </c>
      <c r="B1603" s="94">
        <v>11</v>
      </c>
      <c r="C1603" s="21" t="s">
        <v>605</v>
      </c>
      <c r="D1603">
        <v>2018</v>
      </c>
      <c r="E1603" s="94">
        <v>43</v>
      </c>
      <c r="F1603" s="95">
        <v>12.6</v>
      </c>
      <c r="G1603" s="94">
        <v>10</v>
      </c>
      <c r="H1603" s="96">
        <v>13.081300000000001</v>
      </c>
      <c r="I1603" s="95">
        <v>3.1255000000000002</v>
      </c>
      <c r="J1603" s="96" t="s">
        <v>1</v>
      </c>
      <c r="K1603" s="94">
        <v>4.3</v>
      </c>
      <c r="L1603" s="97"/>
      <c r="M1603" s="96">
        <v>13</v>
      </c>
      <c r="N1603" s="98" t="s">
        <v>804</v>
      </c>
      <c r="O1603" s="99" t="s">
        <v>1367</v>
      </c>
    </row>
    <row r="1604" spans="1:15" ht="63" x14ac:dyDescent="0.25">
      <c r="A1604">
        <v>9949</v>
      </c>
      <c r="B1604" s="94">
        <v>11</v>
      </c>
      <c r="C1604" s="21" t="s">
        <v>605</v>
      </c>
      <c r="D1604">
        <v>2018</v>
      </c>
      <c r="E1604" s="94">
        <v>51</v>
      </c>
      <c r="F1604" s="95">
        <v>6.11</v>
      </c>
      <c r="G1604" s="94">
        <v>21</v>
      </c>
      <c r="H1604" s="96">
        <v>-29.885999999999999</v>
      </c>
      <c r="I1604" s="95">
        <v>25.9514</v>
      </c>
      <c r="J1604" s="96" t="s">
        <v>1</v>
      </c>
      <c r="K1604" s="94">
        <v>4.0999999999999996</v>
      </c>
      <c r="L1604" s="97"/>
      <c r="M1604" s="96">
        <v>41</v>
      </c>
      <c r="N1604" s="98" t="s">
        <v>6</v>
      </c>
      <c r="O1604" s="99" t="s">
        <v>783</v>
      </c>
    </row>
    <row r="1605" spans="1:15" ht="63" x14ac:dyDescent="0.25">
      <c r="A1605">
        <v>9950</v>
      </c>
      <c r="B1605" s="94">
        <v>12</v>
      </c>
      <c r="C1605" s="21" t="s">
        <v>605</v>
      </c>
      <c r="D1605">
        <v>2018</v>
      </c>
      <c r="E1605" s="94">
        <v>40</v>
      </c>
      <c r="F1605" s="95">
        <v>10.62</v>
      </c>
      <c r="G1605" s="94">
        <v>3</v>
      </c>
      <c r="H1605" s="96">
        <v>-26.0855</v>
      </c>
      <c r="I1605" s="95">
        <v>27.135899999999999</v>
      </c>
      <c r="J1605" s="96" t="s">
        <v>1</v>
      </c>
      <c r="K1605" s="94">
        <v>3.8</v>
      </c>
      <c r="L1605" s="97">
        <v>2.2000000000000002</v>
      </c>
      <c r="M1605" s="96">
        <v>117</v>
      </c>
      <c r="N1605" s="98" t="s">
        <v>6</v>
      </c>
      <c r="O1605" s="99" t="s">
        <v>1368</v>
      </c>
    </row>
    <row r="1606" spans="1:15" ht="47.25" x14ac:dyDescent="0.25">
      <c r="A1606">
        <v>9951</v>
      </c>
      <c r="B1606" s="94">
        <v>12</v>
      </c>
      <c r="C1606" s="21" t="s">
        <v>605</v>
      </c>
      <c r="D1606">
        <v>2018</v>
      </c>
      <c r="E1606" s="94">
        <v>1</v>
      </c>
      <c r="F1606" s="95">
        <v>22.42</v>
      </c>
      <c r="G1606" s="94">
        <v>5</v>
      </c>
      <c r="H1606" s="96">
        <v>-16.4544</v>
      </c>
      <c r="I1606" s="95">
        <v>32.646500000000003</v>
      </c>
      <c r="J1606" s="96" t="s">
        <v>1</v>
      </c>
      <c r="K1606" s="94">
        <v>4.0999999999999996</v>
      </c>
      <c r="L1606" s="97">
        <v>3</v>
      </c>
      <c r="M1606" s="96">
        <v>83</v>
      </c>
      <c r="N1606" s="98" t="s">
        <v>26</v>
      </c>
      <c r="O1606" s="99" t="s">
        <v>1369</v>
      </c>
    </row>
    <row r="1607" spans="1:15" ht="63" x14ac:dyDescent="0.25">
      <c r="A1607">
        <v>9952</v>
      </c>
      <c r="B1607" s="94">
        <v>12</v>
      </c>
      <c r="C1607" s="21" t="s">
        <v>605</v>
      </c>
      <c r="D1607">
        <v>2018</v>
      </c>
      <c r="E1607" s="94">
        <v>15</v>
      </c>
      <c r="F1607" s="95">
        <v>13.08</v>
      </c>
      <c r="G1607" s="94">
        <v>20</v>
      </c>
      <c r="H1607" s="96">
        <v>-26.346299999999999</v>
      </c>
      <c r="I1607" s="95">
        <v>27.166399999999999</v>
      </c>
      <c r="J1607" s="96" t="s">
        <v>1</v>
      </c>
      <c r="K1607" s="94">
        <v>3.9</v>
      </c>
      <c r="L1607" s="97">
        <v>2.6</v>
      </c>
      <c r="M1607" s="96">
        <v>138</v>
      </c>
      <c r="N1607" s="98" t="s">
        <v>6</v>
      </c>
      <c r="O1607" s="99" t="s">
        <v>1327</v>
      </c>
    </row>
    <row r="1608" spans="1:15" ht="47.25" x14ac:dyDescent="0.25">
      <c r="A1608">
        <v>9953</v>
      </c>
      <c r="B1608" s="94">
        <v>12</v>
      </c>
      <c r="C1608" s="21" t="s">
        <v>605</v>
      </c>
      <c r="D1608">
        <v>2018</v>
      </c>
      <c r="E1608" s="94">
        <v>56</v>
      </c>
      <c r="F1608" s="95">
        <v>12.19</v>
      </c>
      <c r="G1608" s="94">
        <v>23</v>
      </c>
      <c r="H1608" s="96">
        <v>34.765300000000003</v>
      </c>
      <c r="I1608" s="95">
        <v>7.3304999999999998</v>
      </c>
      <c r="J1608" s="96" t="s">
        <v>1</v>
      </c>
      <c r="K1608" s="94">
        <v>3.8</v>
      </c>
      <c r="L1608" s="97"/>
      <c r="M1608" s="96">
        <v>167</v>
      </c>
      <c r="N1608" s="98" t="s">
        <v>777</v>
      </c>
      <c r="O1608" s="99" t="s">
        <v>1370</v>
      </c>
    </row>
    <row r="1609" spans="1:15" ht="31.5" x14ac:dyDescent="0.25">
      <c r="A1609">
        <v>9954</v>
      </c>
      <c r="B1609" s="94">
        <v>13</v>
      </c>
      <c r="C1609" s="21" t="s">
        <v>605</v>
      </c>
      <c r="D1609">
        <v>2018</v>
      </c>
      <c r="E1609" s="94">
        <v>1</v>
      </c>
      <c r="F1609" s="95">
        <v>22.53</v>
      </c>
      <c r="G1609" s="94">
        <v>0</v>
      </c>
      <c r="H1609" s="96">
        <v>34.7333</v>
      </c>
      <c r="I1609" s="95">
        <v>10.652900000000001</v>
      </c>
      <c r="J1609" s="96" t="s">
        <v>1</v>
      </c>
      <c r="K1609" s="94">
        <v>4.2</v>
      </c>
      <c r="L1609" s="97"/>
      <c r="M1609" s="96">
        <v>47</v>
      </c>
      <c r="N1609" s="98" t="s">
        <v>2</v>
      </c>
      <c r="O1609" s="99" t="s">
        <v>1371</v>
      </c>
    </row>
    <row r="1610" spans="1:15" ht="15.75" x14ac:dyDescent="0.25">
      <c r="A1610">
        <v>9955</v>
      </c>
      <c r="B1610" s="94">
        <v>13</v>
      </c>
      <c r="C1610" s="21" t="s">
        <v>605</v>
      </c>
      <c r="D1610">
        <v>2018</v>
      </c>
      <c r="E1610" s="94">
        <v>30</v>
      </c>
      <c r="F1610" s="95">
        <v>51.79</v>
      </c>
      <c r="G1610" s="94">
        <v>3</v>
      </c>
      <c r="H1610" s="96">
        <v>13.228400000000001</v>
      </c>
      <c r="I1610" s="95">
        <v>1.7475000000000001</v>
      </c>
      <c r="J1610" s="96" t="s">
        <v>1</v>
      </c>
      <c r="K1610" s="94">
        <v>4</v>
      </c>
      <c r="L1610" s="97"/>
      <c r="M1610" s="96">
        <v>33</v>
      </c>
      <c r="N1610" s="98" t="s">
        <v>804</v>
      </c>
      <c r="O1610" s="99" t="s">
        <v>808</v>
      </c>
    </row>
    <row r="1611" spans="1:15" ht="15.75" x14ac:dyDescent="0.25">
      <c r="A1611">
        <v>9956</v>
      </c>
      <c r="B1611" s="94">
        <v>13</v>
      </c>
      <c r="C1611" s="21" t="s">
        <v>605</v>
      </c>
      <c r="D1611">
        <v>2018</v>
      </c>
      <c r="E1611" s="94">
        <v>9</v>
      </c>
      <c r="F1611" s="95">
        <v>17.37</v>
      </c>
      <c r="G1611" s="94">
        <v>10</v>
      </c>
      <c r="H1611" s="96">
        <v>16.700800000000001</v>
      </c>
      <c r="I1611" s="95">
        <v>33.650799999999997</v>
      </c>
      <c r="J1611" s="96" t="s">
        <v>1</v>
      </c>
      <c r="K1611" s="94">
        <v>4.0999999999999996</v>
      </c>
      <c r="L1611" s="97"/>
      <c r="M1611" s="96">
        <v>3</v>
      </c>
      <c r="N1611" s="98" t="s">
        <v>117</v>
      </c>
      <c r="O1611" s="99" t="s">
        <v>1372</v>
      </c>
    </row>
    <row r="1612" spans="1:15" ht="31.5" x14ac:dyDescent="0.25">
      <c r="A1612">
        <v>9957</v>
      </c>
      <c r="B1612" s="100">
        <v>13</v>
      </c>
      <c r="C1612" s="21" t="s">
        <v>605</v>
      </c>
      <c r="D1612">
        <v>2018</v>
      </c>
      <c r="E1612" s="100">
        <v>28</v>
      </c>
      <c r="F1612" s="101">
        <v>18.02</v>
      </c>
      <c r="G1612" s="100">
        <v>18</v>
      </c>
      <c r="H1612" s="102">
        <v>7.3113999999999999</v>
      </c>
      <c r="I1612" s="101">
        <v>-4.1784999999999997</v>
      </c>
      <c r="J1612" s="102" t="s">
        <v>1</v>
      </c>
      <c r="K1612" s="100">
        <v>4.5</v>
      </c>
      <c r="L1612" s="102"/>
      <c r="M1612" s="102">
        <v>170</v>
      </c>
      <c r="N1612" s="103" t="s">
        <v>1310</v>
      </c>
      <c r="O1612" s="104" t="s">
        <v>1373</v>
      </c>
    </row>
    <row r="1613" spans="1:15" ht="47.25" x14ac:dyDescent="0.25">
      <c r="A1613">
        <v>9958</v>
      </c>
      <c r="B1613" s="94">
        <v>13</v>
      </c>
      <c r="C1613" s="21" t="s">
        <v>605</v>
      </c>
      <c r="D1613">
        <v>2018</v>
      </c>
      <c r="E1613" s="94">
        <v>20</v>
      </c>
      <c r="F1613" s="95">
        <v>36.74</v>
      </c>
      <c r="G1613" s="94">
        <v>19</v>
      </c>
      <c r="H1613" s="96">
        <v>30.084499999999998</v>
      </c>
      <c r="I1613" s="95">
        <v>28.718800000000002</v>
      </c>
      <c r="J1613" s="96" t="s">
        <v>1</v>
      </c>
      <c r="K1613" s="94">
        <v>3.7</v>
      </c>
      <c r="L1613" s="97">
        <v>2.8</v>
      </c>
      <c r="M1613" s="96">
        <v>117</v>
      </c>
      <c r="N1613" s="98" t="s">
        <v>72</v>
      </c>
      <c r="O1613" s="99" t="s">
        <v>1374</v>
      </c>
    </row>
    <row r="1614" spans="1:15" ht="31.5" x14ac:dyDescent="0.25">
      <c r="A1614">
        <v>9959</v>
      </c>
      <c r="B1614" s="94">
        <v>13</v>
      </c>
      <c r="C1614" s="21" t="s">
        <v>605</v>
      </c>
      <c r="D1614">
        <v>2018</v>
      </c>
      <c r="E1614" s="94">
        <v>31</v>
      </c>
      <c r="F1614" s="95">
        <v>16.54</v>
      </c>
      <c r="G1614" s="94">
        <v>19</v>
      </c>
      <c r="H1614" s="96">
        <v>7.7312000000000003</v>
      </c>
      <c r="I1614" s="95">
        <v>-5.7523999999999997</v>
      </c>
      <c r="J1614" s="96" t="s">
        <v>1</v>
      </c>
      <c r="K1614" s="94">
        <v>4.3</v>
      </c>
      <c r="L1614" s="97"/>
      <c r="M1614" s="96">
        <v>66</v>
      </c>
      <c r="N1614" s="98" t="s">
        <v>1310</v>
      </c>
      <c r="O1614" s="99" t="s">
        <v>1375</v>
      </c>
    </row>
    <row r="1615" spans="1:15" ht="63" x14ac:dyDescent="0.25">
      <c r="A1615">
        <v>9960</v>
      </c>
      <c r="B1615" s="94">
        <v>15</v>
      </c>
      <c r="C1615" s="21" t="s">
        <v>605</v>
      </c>
      <c r="D1615">
        <v>2018</v>
      </c>
      <c r="E1615" s="94">
        <v>21</v>
      </c>
      <c r="F1615" s="95">
        <v>8.34</v>
      </c>
      <c r="G1615" s="94">
        <v>0</v>
      </c>
      <c r="H1615" s="96">
        <v>-33.749299999999998</v>
      </c>
      <c r="I1615" s="95">
        <v>20.192900000000002</v>
      </c>
      <c r="J1615" s="96" t="s">
        <v>1</v>
      </c>
      <c r="K1615" s="94">
        <v>4.0999999999999996</v>
      </c>
      <c r="L1615" s="97">
        <v>3.2</v>
      </c>
      <c r="M1615" s="96">
        <v>141</v>
      </c>
      <c r="N1615" s="98" t="s">
        <v>6</v>
      </c>
      <c r="O1615" s="99" t="s">
        <v>1376</v>
      </c>
    </row>
    <row r="1616" spans="1:15" ht="63" x14ac:dyDescent="0.25">
      <c r="A1616">
        <v>9961</v>
      </c>
      <c r="B1616" s="94">
        <v>15</v>
      </c>
      <c r="C1616" s="21" t="s">
        <v>605</v>
      </c>
      <c r="D1616">
        <v>2018</v>
      </c>
      <c r="E1616" s="94">
        <v>50</v>
      </c>
      <c r="F1616" s="95">
        <v>17.329999999999998</v>
      </c>
      <c r="G1616" s="94">
        <v>4</v>
      </c>
      <c r="H1616" s="96">
        <v>-28.2437</v>
      </c>
      <c r="I1616" s="95">
        <v>26.752300000000002</v>
      </c>
      <c r="J1616" s="96" t="s">
        <v>1</v>
      </c>
      <c r="K1616" s="94">
        <v>4</v>
      </c>
      <c r="L1616" s="97"/>
      <c r="M1616" s="96">
        <v>142</v>
      </c>
      <c r="N1616" s="98" t="s">
        <v>6</v>
      </c>
      <c r="O1616" s="99" t="s">
        <v>1316</v>
      </c>
    </row>
    <row r="1617" spans="1:15" ht="47.25" x14ac:dyDescent="0.25">
      <c r="A1617">
        <v>9962</v>
      </c>
      <c r="B1617" s="94">
        <v>15</v>
      </c>
      <c r="C1617" s="21" t="s">
        <v>605</v>
      </c>
      <c r="D1617">
        <v>2018</v>
      </c>
      <c r="E1617" s="94">
        <v>55</v>
      </c>
      <c r="F1617" s="95">
        <v>41.95</v>
      </c>
      <c r="G1617" s="94">
        <v>17</v>
      </c>
      <c r="H1617" s="96">
        <v>13.6386</v>
      </c>
      <c r="I1617" s="95">
        <v>-1.6807000000000001</v>
      </c>
      <c r="J1617" s="96" t="s">
        <v>1</v>
      </c>
      <c r="K1617" s="94">
        <v>4</v>
      </c>
      <c r="L1617" s="97">
        <v>2.1</v>
      </c>
      <c r="M1617" s="96">
        <v>179</v>
      </c>
      <c r="N1617" s="98" t="s">
        <v>1334</v>
      </c>
      <c r="O1617" s="99" t="s">
        <v>1377</v>
      </c>
    </row>
    <row r="1618" spans="1:15" ht="63" x14ac:dyDescent="0.25">
      <c r="A1618">
        <v>9963</v>
      </c>
      <c r="B1618" s="94">
        <v>16</v>
      </c>
      <c r="C1618" s="21" t="s">
        <v>605</v>
      </c>
      <c r="D1618">
        <v>2018</v>
      </c>
      <c r="E1618" s="94">
        <v>16</v>
      </c>
      <c r="F1618" s="95">
        <v>5.15</v>
      </c>
      <c r="G1618" s="94">
        <v>13</v>
      </c>
      <c r="H1618" s="96">
        <v>-28.8233</v>
      </c>
      <c r="I1618" s="95">
        <v>25.389099999999999</v>
      </c>
      <c r="J1618" s="96" t="s">
        <v>1</v>
      </c>
      <c r="K1618" s="94">
        <v>4.5999999999999996</v>
      </c>
      <c r="L1618" s="97"/>
      <c r="M1618" s="96">
        <v>149</v>
      </c>
      <c r="N1618" s="98" t="s">
        <v>6</v>
      </c>
      <c r="O1618" s="99" t="s">
        <v>789</v>
      </c>
    </row>
    <row r="1619" spans="1:15" ht="15.75" x14ac:dyDescent="0.25">
      <c r="A1619">
        <v>9964</v>
      </c>
      <c r="B1619" s="94">
        <v>16</v>
      </c>
      <c r="C1619" s="21" t="s">
        <v>605</v>
      </c>
      <c r="D1619">
        <v>2018</v>
      </c>
      <c r="E1619" s="94">
        <v>8</v>
      </c>
      <c r="F1619" s="95">
        <v>49.15</v>
      </c>
      <c r="G1619" s="94">
        <v>16</v>
      </c>
      <c r="H1619" s="96">
        <v>11.0778</v>
      </c>
      <c r="I1619" s="95">
        <v>-8.4603000000000002</v>
      </c>
      <c r="J1619" s="96" t="s">
        <v>1</v>
      </c>
      <c r="K1619" s="94">
        <v>4.0999999999999996</v>
      </c>
      <c r="L1619" s="97">
        <v>2.7</v>
      </c>
      <c r="M1619" s="96">
        <v>152</v>
      </c>
      <c r="N1619" s="98" t="s">
        <v>1364</v>
      </c>
      <c r="O1619" s="99" t="s">
        <v>1378</v>
      </c>
    </row>
    <row r="1620" spans="1:15" ht="63" x14ac:dyDescent="0.25">
      <c r="A1620">
        <v>9965</v>
      </c>
      <c r="B1620" s="94">
        <v>16</v>
      </c>
      <c r="C1620" s="21" t="s">
        <v>605</v>
      </c>
      <c r="D1620">
        <v>2018</v>
      </c>
      <c r="E1620" s="94">
        <v>0</v>
      </c>
      <c r="F1620" s="95">
        <v>52.75</v>
      </c>
      <c r="G1620" s="94">
        <v>19</v>
      </c>
      <c r="H1620" s="96">
        <v>-29.865100000000002</v>
      </c>
      <c r="I1620" s="95">
        <v>25.8795</v>
      </c>
      <c r="J1620" s="96" t="s">
        <v>1</v>
      </c>
      <c r="K1620" s="94">
        <v>4.0999999999999996</v>
      </c>
      <c r="L1620" s="97"/>
      <c r="M1620" s="96">
        <v>72</v>
      </c>
      <c r="N1620" s="98" t="s">
        <v>6</v>
      </c>
      <c r="O1620" s="99" t="s">
        <v>783</v>
      </c>
    </row>
    <row r="1621" spans="1:15" ht="31.5" x14ac:dyDescent="0.25">
      <c r="A1621">
        <v>9966</v>
      </c>
      <c r="B1621" s="94">
        <v>17</v>
      </c>
      <c r="C1621" s="21" t="s">
        <v>605</v>
      </c>
      <c r="D1621">
        <v>2018</v>
      </c>
      <c r="E1621" s="94">
        <v>27</v>
      </c>
      <c r="F1621" s="95">
        <v>30.85</v>
      </c>
      <c r="G1621" s="94">
        <v>12</v>
      </c>
      <c r="H1621" s="96">
        <v>23.353400000000001</v>
      </c>
      <c r="I1621" s="95">
        <v>-10.422000000000001</v>
      </c>
      <c r="J1621" s="96" t="s">
        <v>1</v>
      </c>
      <c r="K1621" s="94">
        <v>3.6</v>
      </c>
      <c r="L1621" s="97">
        <v>3.5</v>
      </c>
      <c r="M1621" s="96">
        <v>120</v>
      </c>
      <c r="N1621" s="98" t="s">
        <v>799</v>
      </c>
      <c r="O1621" s="99" t="s">
        <v>800</v>
      </c>
    </row>
    <row r="1622" spans="1:15" ht="63" x14ac:dyDescent="0.25">
      <c r="A1622">
        <v>9967</v>
      </c>
      <c r="B1622" s="94">
        <v>17</v>
      </c>
      <c r="C1622" s="21" t="s">
        <v>605</v>
      </c>
      <c r="D1622">
        <v>2018</v>
      </c>
      <c r="E1622" s="94">
        <v>55</v>
      </c>
      <c r="F1622" s="95">
        <v>23.76</v>
      </c>
      <c r="G1622" s="94">
        <v>13</v>
      </c>
      <c r="H1622" s="96">
        <v>-27.6998</v>
      </c>
      <c r="I1622" s="95">
        <v>24.8779</v>
      </c>
      <c r="J1622" s="96" t="s">
        <v>1</v>
      </c>
      <c r="K1622" s="94">
        <v>4.0999999999999996</v>
      </c>
      <c r="L1622" s="97"/>
      <c r="M1622" s="96">
        <v>70</v>
      </c>
      <c r="N1622" s="98" t="s">
        <v>6</v>
      </c>
      <c r="O1622" s="99" t="s">
        <v>1379</v>
      </c>
    </row>
    <row r="1623" spans="1:15" ht="31.5" x14ac:dyDescent="0.25">
      <c r="A1623">
        <v>9968</v>
      </c>
      <c r="B1623" s="100">
        <v>18</v>
      </c>
      <c r="C1623" s="21" t="s">
        <v>605</v>
      </c>
      <c r="D1623">
        <v>2018</v>
      </c>
      <c r="E1623" s="100">
        <v>44</v>
      </c>
      <c r="F1623" s="101">
        <v>11.72</v>
      </c>
      <c r="G1623" s="100">
        <v>12</v>
      </c>
      <c r="H1623" s="102">
        <v>7.4340000000000002</v>
      </c>
      <c r="I1623" s="101">
        <v>-6.0929000000000002</v>
      </c>
      <c r="J1623" s="102" t="s">
        <v>1</v>
      </c>
      <c r="K1623" s="100">
        <v>4.2</v>
      </c>
      <c r="L1623" s="102"/>
      <c r="M1623" s="102">
        <v>39</v>
      </c>
      <c r="N1623" s="103" t="s">
        <v>1310</v>
      </c>
      <c r="O1623" s="104" t="s">
        <v>1380</v>
      </c>
    </row>
    <row r="1624" spans="1:15" ht="15.75" x14ac:dyDescent="0.25">
      <c r="A1624">
        <v>9969</v>
      </c>
      <c r="B1624" s="94">
        <v>18</v>
      </c>
      <c r="C1624" s="21" t="s">
        <v>605</v>
      </c>
      <c r="D1624">
        <v>2018</v>
      </c>
      <c r="E1624" s="94">
        <v>57</v>
      </c>
      <c r="F1624" s="95">
        <v>3.63</v>
      </c>
      <c r="G1624" s="94">
        <v>14</v>
      </c>
      <c r="H1624" s="96">
        <v>11.438000000000001</v>
      </c>
      <c r="I1624" s="95">
        <v>-5.8677000000000001</v>
      </c>
      <c r="J1624" s="96" t="s">
        <v>1</v>
      </c>
      <c r="K1624" s="94">
        <v>4.2</v>
      </c>
      <c r="L1624" s="97">
        <v>3.3</v>
      </c>
      <c r="M1624" s="96">
        <v>74</v>
      </c>
      <c r="N1624" s="98" t="s">
        <v>1364</v>
      </c>
      <c r="O1624" s="99" t="s">
        <v>1381</v>
      </c>
    </row>
    <row r="1625" spans="1:15" ht="31.5" x14ac:dyDescent="0.25">
      <c r="A1625">
        <v>9970</v>
      </c>
      <c r="B1625" s="94">
        <v>19</v>
      </c>
      <c r="C1625" s="21" t="s">
        <v>605</v>
      </c>
      <c r="D1625">
        <v>2018</v>
      </c>
      <c r="E1625" s="94">
        <v>32</v>
      </c>
      <c r="F1625" s="95">
        <v>1.41</v>
      </c>
      <c r="G1625" s="94">
        <v>15</v>
      </c>
      <c r="H1625" s="96">
        <v>23.066099999999999</v>
      </c>
      <c r="I1625" s="95">
        <v>-3.8847</v>
      </c>
      <c r="J1625" s="96" t="s">
        <v>1</v>
      </c>
      <c r="K1625" s="94">
        <v>3.8</v>
      </c>
      <c r="L1625" s="97">
        <v>2.2999999999999998</v>
      </c>
      <c r="M1625" s="96">
        <v>64</v>
      </c>
      <c r="N1625" s="98" t="s">
        <v>1364</v>
      </c>
      <c r="O1625" s="99" t="s">
        <v>1382</v>
      </c>
    </row>
    <row r="1626" spans="1:15" ht="63" x14ac:dyDescent="0.25">
      <c r="A1626">
        <v>9971</v>
      </c>
      <c r="B1626" s="94">
        <v>20</v>
      </c>
      <c r="C1626" s="21" t="s">
        <v>605</v>
      </c>
      <c r="D1626">
        <v>2018</v>
      </c>
      <c r="E1626" s="94">
        <v>27</v>
      </c>
      <c r="F1626" s="95">
        <v>32.42</v>
      </c>
      <c r="G1626" s="94">
        <v>1</v>
      </c>
      <c r="H1626" s="96">
        <v>-26.9968</v>
      </c>
      <c r="I1626" s="95">
        <v>26.6782</v>
      </c>
      <c r="J1626" s="96" t="s">
        <v>1</v>
      </c>
      <c r="K1626" s="94">
        <v>4</v>
      </c>
      <c r="L1626" s="97">
        <v>4</v>
      </c>
      <c r="M1626" s="96">
        <v>114</v>
      </c>
      <c r="N1626" s="98" t="s">
        <v>6</v>
      </c>
      <c r="O1626" s="99" t="s">
        <v>1383</v>
      </c>
    </row>
    <row r="1627" spans="1:15" ht="31.5" x14ac:dyDescent="0.25">
      <c r="A1627">
        <v>9972</v>
      </c>
      <c r="B1627" s="94">
        <v>20</v>
      </c>
      <c r="C1627" s="21" t="s">
        <v>605</v>
      </c>
      <c r="D1627">
        <v>2018</v>
      </c>
      <c r="E1627" s="94">
        <v>0</v>
      </c>
      <c r="F1627" s="95">
        <v>44.56</v>
      </c>
      <c r="G1627" s="94">
        <v>12</v>
      </c>
      <c r="H1627" s="96">
        <v>35.987299999999998</v>
      </c>
      <c r="I1627" s="95">
        <v>8.5966000000000005</v>
      </c>
      <c r="J1627" s="96" t="s">
        <v>1</v>
      </c>
      <c r="K1627" s="94">
        <v>4</v>
      </c>
      <c r="L1627" s="97"/>
      <c r="M1627" s="96">
        <v>28</v>
      </c>
      <c r="N1627" s="98" t="s">
        <v>2</v>
      </c>
      <c r="O1627" s="99" t="s">
        <v>1384</v>
      </c>
    </row>
    <row r="1628" spans="1:15" ht="15.75" x14ac:dyDescent="0.25">
      <c r="A1628">
        <v>9973</v>
      </c>
      <c r="B1628" s="94">
        <v>20</v>
      </c>
      <c r="C1628" s="21" t="s">
        <v>605</v>
      </c>
      <c r="D1628">
        <v>2018</v>
      </c>
      <c r="E1628" s="94">
        <v>16</v>
      </c>
      <c r="F1628" s="95">
        <v>41.33</v>
      </c>
      <c r="G1628" s="94">
        <v>12</v>
      </c>
      <c r="H1628" s="96">
        <v>22.1065</v>
      </c>
      <c r="I1628" s="95">
        <v>18.186</v>
      </c>
      <c r="J1628" s="96" t="s">
        <v>1</v>
      </c>
      <c r="K1628" s="94">
        <v>4.0999999999999996</v>
      </c>
      <c r="L1628" s="97">
        <v>3.3</v>
      </c>
      <c r="M1628" s="96">
        <v>134</v>
      </c>
      <c r="N1628" s="98" t="s">
        <v>796</v>
      </c>
      <c r="O1628" s="99" t="s">
        <v>1385</v>
      </c>
    </row>
    <row r="1629" spans="1:15" ht="63" x14ac:dyDescent="0.25">
      <c r="A1629">
        <v>9974</v>
      </c>
      <c r="B1629" s="94">
        <v>20</v>
      </c>
      <c r="C1629" s="21" t="s">
        <v>605</v>
      </c>
      <c r="D1629">
        <v>2018</v>
      </c>
      <c r="E1629" s="94">
        <v>8</v>
      </c>
      <c r="F1629" s="95">
        <v>7.26</v>
      </c>
      <c r="G1629" s="94">
        <v>14</v>
      </c>
      <c r="H1629" s="96">
        <v>-30.1021</v>
      </c>
      <c r="I1629" s="95">
        <v>29.124300000000002</v>
      </c>
      <c r="J1629" s="96" t="s">
        <v>1</v>
      </c>
      <c r="K1629" s="94">
        <v>4.3</v>
      </c>
      <c r="L1629" s="97">
        <v>2.7</v>
      </c>
      <c r="M1629" s="96">
        <v>27</v>
      </c>
      <c r="N1629" s="98" t="s">
        <v>6</v>
      </c>
      <c r="O1629" s="99" t="s">
        <v>1386</v>
      </c>
    </row>
    <row r="1630" spans="1:15" ht="63" x14ac:dyDescent="0.25">
      <c r="A1630">
        <v>9975</v>
      </c>
      <c r="B1630" s="94">
        <v>20</v>
      </c>
      <c r="C1630" s="21" t="s">
        <v>605</v>
      </c>
      <c r="D1630">
        <v>2018</v>
      </c>
      <c r="E1630" s="94">
        <v>51</v>
      </c>
      <c r="F1630" s="95">
        <v>36.01</v>
      </c>
      <c r="G1630" s="94">
        <v>14</v>
      </c>
      <c r="H1630" s="96">
        <v>-28.735199999999999</v>
      </c>
      <c r="I1630" s="95">
        <v>25.341200000000001</v>
      </c>
      <c r="J1630" s="96" t="s">
        <v>1</v>
      </c>
      <c r="K1630" s="94">
        <v>3.9</v>
      </c>
      <c r="L1630" s="97"/>
      <c r="M1630" s="96">
        <v>148</v>
      </c>
      <c r="N1630" s="98" t="s">
        <v>6</v>
      </c>
      <c r="O1630" s="99" t="s">
        <v>789</v>
      </c>
    </row>
    <row r="1631" spans="1:15" ht="45" x14ac:dyDescent="0.25">
      <c r="A1631">
        <v>9976</v>
      </c>
      <c r="B1631">
        <v>21</v>
      </c>
      <c r="C1631" s="21" t="s">
        <v>605</v>
      </c>
      <c r="D1631">
        <v>2018</v>
      </c>
      <c r="E1631">
        <v>24</v>
      </c>
      <c r="F1631" s="57">
        <v>34.549999999999997</v>
      </c>
      <c r="G1631">
        <v>5</v>
      </c>
      <c r="H1631" s="58">
        <v>36.326500000000003</v>
      </c>
      <c r="I1631" s="57">
        <v>2.2865000000000002</v>
      </c>
      <c r="J1631" s="58" t="s">
        <v>1</v>
      </c>
      <c r="K1631">
        <v>3.8</v>
      </c>
      <c r="L1631" s="26">
        <v>2.5</v>
      </c>
      <c r="M1631" s="58">
        <v>26</v>
      </c>
      <c r="N1631" s="59" t="s">
        <v>10</v>
      </c>
      <c r="O1631" s="61" t="s">
        <v>1387</v>
      </c>
    </row>
    <row r="1632" spans="1:15" ht="45" x14ac:dyDescent="0.25">
      <c r="A1632">
        <v>9977</v>
      </c>
      <c r="B1632">
        <v>21</v>
      </c>
      <c r="C1632" s="21" t="s">
        <v>605</v>
      </c>
      <c r="D1632">
        <v>2018</v>
      </c>
      <c r="E1632">
        <v>12</v>
      </c>
      <c r="F1632" s="57">
        <v>38.49</v>
      </c>
      <c r="G1632">
        <v>6</v>
      </c>
      <c r="H1632" s="58">
        <v>36.702300000000001</v>
      </c>
      <c r="I1632" s="57">
        <v>8.5869999999999997</v>
      </c>
      <c r="J1632" s="58" t="s">
        <v>1</v>
      </c>
      <c r="K1632">
        <v>3.6</v>
      </c>
      <c r="M1632" s="58">
        <v>56</v>
      </c>
      <c r="N1632" s="59" t="s">
        <v>2</v>
      </c>
      <c r="O1632" s="61" t="s">
        <v>1388</v>
      </c>
    </row>
    <row r="1633" spans="1:15" ht="45" x14ac:dyDescent="0.25">
      <c r="A1633">
        <v>9978</v>
      </c>
      <c r="B1633" s="8">
        <v>21</v>
      </c>
      <c r="C1633" s="21" t="s">
        <v>605</v>
      </c>
      <c r="D1633">
        <v>2018</v>
      </c>
      <c r="E1633" s="8">
        <v>34</v>
      </c>
      <c r="F1633" s="9">
        <v>53.57</v>
      </c>
      <c r="G1633" s="8">
        <v>9</v>
      </c>
      <c r="H1633" s="11">
        <v>13.1898</v>
      </c>
      <c r="I1633" s="9">
        <v>1.6547000000000001</v>
      </c>
      <c r="J1633" s="11" t="s">
        <v>1</v>
      </c>
      <c r="K1633" s="8">
        <v>4.2</v>
      </c>
      <c r="L1633" s="11"/>
      <c r="M1633" s="11">
        <v>137</v>
      </c>
      <c r="N1633" s="12" t="s">
        <v>15</v>
      </c>
      <c r="O1633" s="13" t="s">
        <v>1290</v>
      </c>
    </row>
    <row r="1634" spans="1:15" ht="60" x14ac:dyDescent="0.25">
      <c r="A1634">
        <v>9979</v>
      </c>
      <c r="B1634">
        <v>21</v>
      </c>
      <c r="C1634" s="21" t="s">
        <v>605</v>
      </c>
      <c r="D1634">
        <v>2018</v>
      </c>
      <c r="E1634">
        <v>52</v>
      </c>
      <c r="F1634" s="57">
        <v>43.64</v>
      </c>
      <c r="G1634">
        <v>12</v>
      </c>
      <c r="H1634" s="58">
        <v>-28.166899999999998</v>
      </c>
      <c r="I1634" s="57">
        <v>21.884899999999998</v>
      </c>
      <c r="J1634" s="58" t="s">
        <v>1</v>
      </c>
      <c r="K1634">
        <v>4</v>
      </c>
      <c r="L1634" s="26">
        <v>2.6</v>
      </c>
      <c r="M1634" s="58">
        <v>175</v>
      </c>
      <c r="N1634" s="59" t="s">
        <v>6</v>
      </c>
      <c r="O1634" s="61" t="s">
        <v>239</v>
      </c>
    </row>
    <row r="1635" spans="1:15" ht="60" x14ac:dyDescent="0.25">
      <c r="A1635">
        <v>9980</v>
      </c>
      <c r="B1635">
        <v>21</v>
      </c>
      <c r="C1635" s="21" t="s">
        <v>605</v>
      </c>
      <c r="D1635">
        <v>2018</v>
      </c>
      <c r="E1635">
        <v>11</v>
      </c>
      <c r="F1635" s="57">
        <v>52.37</v>
      </c>
      <c r="G1635">
        <v>13</v>
      </c>
      <c r="H1635" s="58">
        <v>-28.315000000000001</v>
      </c>
      <c r="I1635" s="57">
        <v>25.957000000000001</v>
      </c>
      <c r="J1635" s="58" t="s">
        <v>1</v>
      </c>
      <c r="K1635">
        <v>4.2</v>
      </c>
      <c r="M1635" s="58">
        <v>112</v>
      </c>
      <c r="N1635" s="59" t="s">
        <v>6</v>
      </c>
      <c r="O1635" s="61" t="s">
        <v>1389</v>
      </c>
    </row>
    <row r="1636" spans="1:15" ht="45" x14ac:dyDescent="0.25">
      <c r="A1636">
        <v>9981</v>
      </c>
      <c r="B1636" s="8">
        <v>21</v>
      </c>
      <c r="C1636" s="21" t="s">
        <v>605</v>
      </c>
      <c r="D1636">
        <v>2018</v>
      </c>
      <c r="E1636" s="8">
        <v>15</v>
      </c>
      <c r="F1636" s="9">
        <v>14.97</v>
      </c>
      <c r="G1636" s="8">
        <v>17</v>
      </c>
      <c r="H1636" s="11">
        <v>13.3024</v>
      </c>
      <c r="I1636" s="9">
        <v>0.97230000000000005</v>
      </c>
      <c r="J1636" s="11" t="s">
        <v>1</v>
      </c>
      <c r="K1636" s="8"/>
      <c r="L1636" s="11">
        <v>2.7</v>
      </c>
      <c r="M1636" s="11">
        <v>133</v>
      </c>
      <c r="N1636" s="12" t="s">
        <v>15</v>
      </c>
      <c r="O1636" s="13" t="s">
        <v>1390</v>
      </c>
    </row>
    <row r="1637" spans="1:15" ht="105" x14ac:dyDescent="0.25">
      <c r="A1637">
        <v>9982</v>
      </c>
      <c r="B1637">
        <v>21</v>
      </c>
      <c r="C1637" s="21" t="s">
        <v>605</v>
      </c>
      <c r="D1637">
        <v>2018</v>
      </c>
      <c r="E1637">
        <v>48</v>
      </c>
      <c r="F1637" s="57">
        <v>20.03</v>
      </c>
      <c r="G1637">
        <v>18</v>
      </c>
      <c r="H1637" s="58">
        <v>25.301300000000001</v>
      </c>
      <c r="I1637" s="57">
        <v>25.473600000000001</v>
      </c>
      <c r="J1637" s="58" t="s">
        <v>1</v>
      </c>
      <c r="K1637">
        <v>3.8</v>
      </c>
      <c r="L1637" s="26">
        <v>3.2</v>
      </c>
      <c r="M1637" s="58">
        <v>68</v>
      </c>
      <c r="N1637" s="59" t="s">
        <v>72</v>
      </c>
      <c r="O1637" s="61" t="s">
        <v>1391</v>
      </c>
    </row>
    <row r="1638" spans="1:15" ht="45" x14ac:dyDescent="0.25">
      <c r="A1638">
        <v>9983</v>
      </c>
      <c r="B1638" s="8">
        <v>22</v>
      </c>
      <c r="C1638" s="21" t="s">
        <v>605</v>
      </c>
      <c r="D1638">
        <v>2018</v>
      </c>
      <c r="E1638" s="8">
        <v>45</v>
      </c>
      <c r="F1638" s="9">
        <v>9.64</v>
      </c>
      <c r="G1638" s="8">
        <v>2</v>
      </c>
      <c r="H1638" s="11">
        <v>7.1905999999999999</v>
      </c>
      <c r="I1638" s="9">
        <v>-4.6087999999999996</v>
      </c>
      <c r="J1638" s="11" t="s">
        <v>1</v>
      </c>
      <c r="K1638" s="8"/>
      <c r="L1638" s="11"/>
      <c r="M1638" s="11">
        <v>121</v>
      </c>
      <c r="N1638" s="12" t="s">
        <v>15</v>
      </c>
      <c r="O1638" s="13" t="s">
        <v>1212</v>
      </c>
    </row>
    <row r="1639" spans="1:15" ht="45" x14ac:dyDescent="0.25">
      <c r="A1639">
        <v>9984</v>
      </c>
      <c r="B1639">
        <v>22</v>
      </c>
      <c r="C1639" s="21" t="s">
        <v>605</v>
      </c>
      <c r="D1639">
        <v>2018</v>
      </c>
      <c r="E1639">
        <v>58</v>
      </c>
      <c r="F1639" s="57">
        <v>45.35</v>
      </c>
      <c r="G1639">
        <v>11</v>
      </c>
      <c r="H1639" s="58">
        <v>34.962400000000002</v>
      </c>
      <c r="I1639" s="57">
        <v>6.3681000000000001</v>
      </c>
      <c r="J1639" s="58" t="s">
        <v>1</v>
      </c>
      <c r="K1639">
        <v>3.4</v>
      </c>
      <c r="L1639" s="26">
        <v>3.5</v>
      </c>
      <c r="M1639" s="58">
        <v>104</v>
      </c>
      <c r="N1639" s="59" t="s">
        <v>10</v>
      </c>
      <c r="O1639" s="61" t="s">
        <v>1392</v>
      </c>
    </row>
    <row r="1640" spans="1:15" ht="45" x14ac:dyDescent="0.25">
      <c r="A1640">
        <v>9985</v>
      </c>
      <c r="B1640" s="8">
        <v>23</v>
      </c>
      <c r="C1640" s="21" t="s">
        <v>605</v>
      </c>
      <c r="D1640">
        <v>2018</v>
      </c>
      <c r="E1640" s="8">
        <v>10</v>
      </c>
      <c r="F1640" s="9">
        <v>52.83</v>
      </c>
      <c r="G1640" s="8">
        <v>4</v>
      </c>
      <c r="H1640" s="11">
        <v>5.3376000000000001</v>
      </c>
      <c r="I1640" s="9">
        <v>-4.4596</v>
      </c>
      <c r="J1640" s="11" t="s">
        <v>1</v>
      </c>
      <c r="K1640" s="8">
        <v>4</v>
      </c>
      <c r="L1640" s="11"/>
      <c r="M1640" s="11">
        <v>113</v>
      </c>
      <c r="N1640" s="12" t="s">
        <v>15</v>
      </c>
      <c r="O1640" s="13" t="s">
        <v>1393</v>
      </c>
    </row>
    <row r="1641" spans="1:15" ht="45" x14ac:dyDescent="0.25">
      <c r="A1641">
        <v>9986</v>
      </c>
      <c r="B1641" s="8">
        <v>23</v>
      </c>
      <c r="C1641" s="21" t="s">
        <v>605</v>
      </c>
      <c r="D1641">
        <v>2018</v>
      </c>
      <c r="E1641" s="8">
        <v>57</v>
      </c>
      <c r="F1641" s="9">
        <v>4.2300000000000004</v>
      </c>
      <c r="G1641" s="8">
        <v>7</v>
      </c>
      <c r="H1641" s="11">
        <v>6.8949999999999996</v>
      </c>
      <c r="I1641" s="9">
        <v>-3.5034999999999998</v>
      </c>
      <c r="J1641" s="11" t="s">
        <v>1</v>
      </c>
      <c r="K1641" s="8">
        <v>3.9</v>
      </c>
      <c r="L1641" s="11"/>
      <c r="M1641" s="11">
        <v>155</v>
      </c>
      <c r="N1641" s="12" t="s">
        <v>15</v>
      </c>
      <c r="O1641" s="13" t="s">
        <v>1394</v>
      </c>
    </row>
    <row r="1642" spans="1:15" ht="45" x14ac:dyDescent="0.25">
      <c r="A1642">
        <v>9987</v>
      </c>
      <c r="B1642" s="8">
        <v>23</v>
      </c>
      <c r="C1642" s="21" t="s">
        <v>605</v>
      </c>
      <c r="D1642">
        <v>2018</v>
      </c>
      <c r="E1642" s="8">
        <v>41</v>
      </c>
      <c r="F1642" s="9">
        <v>16.690000000000001</v>
      </c>
      <c r="G1642" s="8">
        <v>9</v>
      </c>
      <c r="H1642" s="11">
        <v>14.9018</v>
      </c>
      <c r="I1642" s="9">
        <v>3.6756000000000002</v>
      </c>
      <c r="J1642" s="11" t="s">
        <v>1</v>
      </c>
      <c r="K1642" s="8">
        <v>4</v>
      </c>
      <c r="L1642" s="11">
        <v>3.2</v>
      </c>
      <c r="M1642" s="11">
        <v>119</v>
      </c>
      <c r="N1642" s="12" t="s">
        <v>15</v>
      </c>
      <c r="O1642" s="13" t="s">
        <v>1395</v>
      </c>
    </row>
    <row r="1643" spans="1:15" ht="45" x14ac:dyDescent="0.25">
      <c r="A1643">
        <v>9988</v>
      </c>
      <c r="B1643" s="8">
        <v>23</v>
      </c>
      <c r="C1643" s="21" t="s">
        <v>605</v>
      </c>
      <c r="D1643">
        <v>2018</v>
      </c>
      <c r="E1643" s="8">
        <v>4</v>
      </c>
      <c r="F1643" s="9">
        <v>50.14</v>
      </c>
      <c r="G1643" s="8">
        <v>13</v>
      </c>
      <c r="H1643" s="11">
        <v>5.7882999999999996</v>
      </c>
      <c r="I1643" s="9">
        <v>-3.0308000000000002</v>
      </c>
      <c r="J1643" s="11" t="s">
        <v>1</v>
      </c>
      <c r="K1643" s="8">
        <v>4</v>
      </c>
      <c r="L1643" s="11"/>
      <c r="M1643" s="11">
        <v>7</v>
      </c>
      <c r="N1643" s="12" t="s">
        <v>15</v>
      </c>
      <c r="O1643" s="13" t="s">
        <v>1396</v>
      </c>
    </row>
    <row r="1644" spans="1:15" ht="45" x14ac:dyDescent="0.25">
      <c r="A1644">
        <v>9989</v>
      </c>
      <c r="B1644" s="8">
        <v>23</v>
      </c>
      <c r="C1644" s="21" t="s">
        <v>605</v>
      </c>
      <c r="D1644">
        <v>2018</v>
      </c>
      <c r="E1644" s="8">
        <v>53</v>
      </c>
      <c r="F1644" s="9">
        <v>28.6</v>
      </c>
      <c r="G1644" s="8">
        <v>14</v>
      </c>
      <c r="H1644" s="11">
        <v>23.6555</v>
      </c>
      <c r="I1644" s="9">
        <v>-12.443</v>
      </c>
      <c r="J1644" s="11" t="s">
        <v>1</v>
      </c>
      <c r="K1644" s="8">
        <v>3.8</v>
      </c>
      <c r="L1644" s="11">
        <v>3.7</v>
      </c>
      <c r="M1644" s="11">
        <v>77</v>
      </c>
      <c r="N1644" s="12" t="s">
        <v>15</v>
      </c>
      <c r="O1644" s="13" t="s">
        <v>1397</v>
      </c>
    </row>
    <row r="1645" spans="1:15" ht="45" x14ac:dyDescent="0.25">
      <c r="A1645">
        <v>9990</v>
      </c>
      <c r="B1645">
        <v>23</v>
      </c>
      <c r="C1645" s="21" t="s">
        <v>605</v>
      </c>
      <c r="D1645">
        <v>2018</v>
      </c>
      <c r="E1645">
        <v>17</v>
      </c>
      <c r="F1645" s="57">
        <v>35.56</v>
      </c>
      <c r="G1645">
        <v>16</v>
      </c>
      <c r="H1645" s="58">
        <v>-11.654199999999999</v>
      </c>
      <c r="I1645" s="57">
        <v>35.133499999999998</v>
      </c>
      <c r="J1645" s="58" t="s">
        <v>1</v>
      </c>
      <c r="K1645">
        <v>3.7</v>
      </c>
      <c r="L1645" s="26">
        <v>4.5</v>
      </c>
      <c r="M1645" s="58">
        <v>99</v>
      </c>
      <c r="N1645" s="59" t="s">
        <v>96</v>
      </c>
      <c r="O1645" s="61" t="s">
        <v>1398</v>
      </c>
    </row>
    <row r="1646" spans="1:15" ht="75" x14ac:dyDescent="0.25">
      <c r="A1646">
        <v>9991</v>
      </c>
      <c r="B1646" s="8">
        <v>23</v>
      </c>
      <c r="C1646" s="21" t="s">
        <v>605</v>
      </c>
      <c r="D1646">
        <v>2018</v>
      </c>
      <c r="E1646" s="8">
        <v>31</v>
      </c>
      <c r="F1646" s="9">
        <v>12.63</v>
      </c>
      <c r="G1646" s="8">
        <v>17</v>
      </c>
      <c r="H1646" s="11">
        <v>11.8941</v>
      </c>
      <c r="I1646" s="9">
        <v>2.3174999999999999</v>
      </c>
      <c r="J1646" s="11" t="s">
        <v>1</v>
      </c>
      <c r="K1646" s="8">
        <v>4</v>
      </c>
      <c r="L1646" s="11"/>
      <c r="M1646" s="11">
        <v>32</v>
      </c>
      <c r="N1646" s="12" t="s">
        <v>15</v>
      </c>
      <c r="O1646" s="13" t="s">
        <v>1399</v>
      </c>
    </row>
    <row r="1647" spans="1:15" ht="60" x14ac:dyDescent="0.25">
      <c r="A1647">
        <v>9992</v>
      </c>
      <c r="B1647">
        <v>23</v>
      </c>
      <c r="C1647" s="21" t="s">
        <v>605</v>
      </c>
      <c r="D1647">
        <v>2018</v>
      </c>
      <c r="E1647">
        <v>26</v>
      </c>
      <c r="F1647" s="57">
        <v>26.18</v>
      </c>
      <c r="G1647">
        <v>21</v>
      </c>
      <c r="H1647" s="58">
        <v>-12.791700000000001</v>
      </c>
      <c r="I1647" s="57">
        <v>36.802700000000002</v>
      </c>
      <c r="J1647" s="58" t="s">
        <v>1</v>
      </c>
      <c r="K1647">
        <v>4.4000000000000004</v>
      </c>
      <c r="M1647" s="58">
        <v>18</v>
      </c>
      <c r="N1647" s="59" t="s">
        <v>26</v>
      </c>
      <c r="O1647" s="61" t="s">
        <v>1400</v>
      </c>
    </row>
    <row r="1648" spans="1:15" ht="45" x14ac:dyDescent="0.25">
      <c r="A1648">
        <v>9993</v>
      </c>
      <c r="B1648" s="8">
        <v>23</v>
      </c>
      <c r="C1648" s="21" t="s">
        <v>605</v>
      </c>
      <c r="D1648">
        <v>2018</v>
      </c>
      <c r="E1648" s="8">
        <v>15</v>
      </c>
      <c r="F1648" s="9">
        <v>16.989999999999998</v>
      </c>
      <c r="G1648" s="8">
        <v>23</v>
      </c>
      <c r="H1648" s="11">
        <v>13.5337</v>
      </c>
      <c r="I1648" s="9">
        <v>5.0957999999999997</v>
      </c>
      <c r="J1648" s="11" t="s">
        <v>1</v>
      </c>
      <c r="K1648" s="8">
        <v>3.4</v>
      </c>
      <c r="L1648" s="11">
        <v>3</v>
      </c>
      <c r="M1648" s="11">
        <v>144</v>
      </c>
      <c r="N1648" s="12" t="s">
        <v>15</v>
      </c>
      <c r="O1648" s="13" t="s">
        <v>1401</v>
      </c>
    </row>
    <row r="1649" spans="1:15" ht="60" x14ac:dyDescent="0.25">
      <c r="A1649">
        <v>9994</v>
      </c>
      <c r="B1649" s="8">
        <v>24</v>
      </c>
      <c r="C1649" s="21" t="s">
        <v>605</v>
      </c>
      <c r="D1649">
        <v>2018</v>
      </c>
      <c r="E1649" s="8">
        <v>43</v>
      </c>
      <c r="F1649" s="9">
        <v>38.97</v>
      </c>
      <c r="G1649" s="8">
        <v>4</v>
      </c>
      <c r="H1649" s="11">
        <v>7.2996999999999996</v>
      </c>
      <c r="I1649" s="9">
        <v>-13.2902</v>
      </c>
      <c r="J1649" s="11" t="s">
        <v>1</v>
      </c>
      <c r="K1649" s="8">
        <v>3.7</v>
      </c>
      <c r="L1649" s="11"/>
      <c r="M1649" s="11">
        <v>117</v>
      </c>
      <c r="N1649" s="12" t="s">
        <v>15</v>
      </c>
      <c r="O1649" s="13" t="s">
        <v>866</v>
      </c>
    </row>
    <row r="1650" spans="1:15" ht="90" x14ac:dyDescent="0.25">
      <c r="A1650">
        <v>9995</v>
      </c>
      <c r="B1650" s="76">
        <v>24</v>
      </c>
      <c r="C1650" s="21" t="s">
        <v>605</v>
      </c>
      <c r="D1650">
        <v>2018</v>
      </c>
      <c r="E1650" s="76">
        <v>52</v>
      </c>
      <c r="F1650" s="57">
        <v>36.409999999999997</v>
      </c>
      <c r="G1650" s="76">
        <v>11</v>
      </c>
      <c r="H1650" s="58">
        <v>-28.819700000000001</v>
      </c>
      <c r="I1650" s="57">
        <v>25.927</v>
      </c>
      <c r="J1650" s="58" t="s">
        <v>1</v>
      </c>
      <c r="K1650" s="8">
        <v>3.8</v>
      </c>
      <c r="M1650" s="58">
        <v>136</v>
      </c>
      <c r="N1650" s="59" t="s">
        <v>6</v>
      </c>
      <c r="O1650" s="61" t="s">
        <v>1402</v>
      </c>
    </row>
    <row r="1651" spans="1:15" ht="45" x14ac:dyDescent="0.25">
      <c r="A1651">
        <v>9996</v>
      </c>
      <c r="B1651">
        <v>24</v>
      </c>
      <c r="C1651" s="21" t="s">
        <v>605</v>
      </c>
      <c r="D1651">
        <v>2018</v>
      </c>
      <c r="E1651">
        <v>13</v>
      </c>
      <c r="F1651" s="57">
        <v>57.66</v>
      </c>
      <c r="G1651">
        <v>22</v>
      </c>
      <c r="H1651" s="58">
        <v>34.242800000000003</v>
      </c>
      <c r="I1651" s="57">
        <v>-0.45950000000000002</v>
      </c>
      <c r="J1651" s="58" t="s">
        <v>1</v>
      </c>
      <c r="K1651">
        <v>4.0999999999999996</v>
      </c>
      <c r="L1651" s="26">
        <v>3.1</v>
      </c>
      <c r="M1651" s="58">
        <v>69</v>
      </c>
      <c r="N1651" s="59" t="s">
        <v>10</v>
      </c>
      <c r="O1651" s="61" t="s">
        <v>1403</v>
      </c>
    </row>
    <row r="1652" spans="1:15" ht="90" x14ac:dyDescent="0.25">
      <c r="A1652">
        <v>9997</v>
      </c>
      <c r="B1652" s="8">
        <v>24</v>
      </c>
      <c r="C1652" s="21" t="s">
        <v>605</v>
      </c>
      <c r="D1652">
        <v>2018</v>
      </c>
      <c r="E1652" s="8">
        <v>10</v>
      </c>
      <c r="F1652" s="9">
        <v>1.17</v>
      </c>
      <c r="G1652" s="8">
        <v>23</v>
      </c>
      <c r="H1652" s="11">
        <v>3.1901999999999999</v>
      </c>
      <c r="I1652" s="9">
        <v>-11.2789</v>
      </c>
      <c r="J1652" s="11" t="s">
        <v>1</v>
      </c>
      <c r="K1652" s="8">
        <v>4.0999999999999996</v>
      </c>
      <c r="L1652" s="11">
        <v>2.6</v>
      </c>
      <c r="M1652" s="11">
        <v>157</v>
      </c>
      <c r="N1652" s="12" t="s">
        <v>1000</v>
      </c>
      <c r="O1652" s="13" t="s">
        <v>1404</v>
      </c>
    </row>
    <row r="1653" spans="1:15" ht="60" x14ac:dyDescent="0.25">
      <c r="A1653">
        <v>9998</v>
      </c>
      <c r="B1653">
        <v>25</v>
      </c>
      <c r="C1653" s="21" t="s">
        <v>605</v>
      </c>
      <c r="D1653">
        <v>2018</v>
      </c>
      <c r="E1653">
        <v>42</v>
      </c>
      <c r="F1653" s="57">
        <v>56.73</v>
      </c>
      <c r="G1653">
        <v>21</v>
      </c>
      <c r="H1653" s="58">
        <v>-29.270700000000001</v>
      </c>
      <c r="I1653" s="57">
        <v>25.727499999999999</v>
      </c>
      <c r="J1653" s="58" t="s">
        <v>1</v>
      </c>
      <c r="K1653">
        <v>4.2</v>
      </c>
      <c r="M1653" s="58">
        <v>64</v>
      </c>
      <c r="N1653" s="59" t="s">
        <v>6</v>
      </c>
      <c r="O1653" s="61" t="s">
        <v>1405</v>
      </c>
    </row>
    <row r="1654" spans="1:15" ht="45" x14ac:dyDescent="0.25">
      <c r="A1654">
        <v>9999</v>
      </c>
      <c r="B1654" s="8">
        <v>27</v>
      </c>
      <c r="C1654" s="21" t="s">
        <v>605</v>
      </c>
      <c r="D1654">
        <v>2018</v>
      </c>
      <c r="E1654" s="8">
        <v>45</v>
      </c>
      <c r="F1654" s="9">
        <v>58.76</v>
      </c>
      <c r="G1654" s="8">
        <v>3</v>
      </c>
      <c r="H1654" s="11">
        <v>6.0453999999999999</v>
      </c>
      <c r="I1654" s="9">
        <v>-6.1359000000000004</v>
      </c>
      <c r="J1654" s="11" t="s">
        <v>1</v>
      </c>
      <c r="K1654" s="8">
        <v>4.0999999999999996</v>
      </c>
      <c r="L1654" s="11"/>
      <c r="M1654" s="11">
        <v>157</v>
      </c>
      <c r="N1654" s="12" t="s">
        <v>15</v>
      </c>
      <c r="O1654" s="13" t="s">
        <v>1406</v>
      </c>
    </row>
    <row r="1655" spans="1:15" ht="45" x14ac:dyDescent="0.25">
      <c r="A1655">
        <v>10000</v>
      </c>
      <c r="B1655" s="8">
        <v>27</v>
      </c>
      <c r="C1655" s="21" t="s">
        <v>605</v>
      </c>
      <c r="D1655">
        <v>2018</v>
      </c>
      <c r="E1655" s="8">
        <v>40</v>
      </c>
      <c r="F1655" s="9">
        <v>39.49</v>
      </c>
      <c r="G1655" s="8">
        <v>4</v>
      </c>
      <c r="H1655" s="11">
        <v>11.988</v>
      </c>
      <c r="I1655" s="9">
        <v>-2.8774999999999999</v>
      </c>
      <c r="J1655" s="11" t="s">
        <v>1</v>
      </c>
      <c r="K1655" s="8">
        <v>4.3</v>
      </c>
      <c r="L1655" s="11">
        <v>2</v>
      </c>
      <c r="M1655" s="11">
        <v>130</v>
      </c>
      <c r="N1655" s="12" t="s">
        <v>15</v>
      </c>
      <c r="O1655" s="13" t="s">
        <v>1407</v>
      </c>
    </row>
    <row r="1656" spans="1:15" ht="60" x14ac:dyDescent="0.25">
      <c r="A1656">
        <v>10001</v>
      </c>
      <c r="B1656">
        <v>27</v>
      </c>
      <c r="C1656" s="21" t="s">
        <v>605</v>
      </c>
      <c r="D1656">
        <v>2018</v>
      </c>
      <c r="E1656">
        <v>45</v>
      </c>
      <c r="F1656" s="57">
        <v>6.74</v>
      </c>
      <c r="G1656">
        <v>15</v>
      </c>
      <c r="H1656" s="58">
        <v>-28.227900000000002</v>
      </c>
      <c r="I1656" s="57">
        <v>25.820799999999998</v>
      </c>
      <c r="J1656" s="58" t="s">
        <v>1</v>
      </c>
      <c r="K1656" s="8">
        <v>4.3</v>
      </c>
      <c r="L1656" s="26"/>
      <c r="M1656" s="58">
        <v>53</v>
      </c>
      <c r="N1656" s="59" t="s">
        <v>6</v>
      </c>
      <c r="O1656" s="61" t="s">
        <v>1252</v>
      </c>
    </row>
    <row r="1657" spans="1:15" ht="60" x14ac:dyDescent="0.25">
      <c r="A1657">
        <v>10002</v>
      </c>
      <c r="B1657">
        <v>28</v>
      </c>
      <c r="C1657" s="21" t="s">
        <v>605</v>
      </c>
      <c r="D1657">
        <v>2018</v>
      </c>
      <c r="E1657">
        <v>9</v>
      </c>
      <c r="F1657" s="57">
        <v>16.670000000000002</v>
      </c>
      <c r="G1657">
        <v>4</v>
      </c>
      <c r="H1657" s="58">
        <v>-26.874400000000001</v>
      </c>
      <c r="I1657" s="57">
        <v>26.3108</v>
      </c>
      <c r="J1657" s="58" t="s">
        <v>1</v>
      </c>
      <c r="K1657">
        <v>3.6</v>
      </c>
      <c r="L1657" s="26"/>
      <c r="M1657" s="58">
        <v>107</v>
      </c>
      <c r="N1657" s="59" t="s">
        <v>6</v>
      </c>
      <c r="O1657" s="61" t="s">
        <v>1408</v>
      </c>
    </row>
    <row r="1658" spans="1:15" ht="90" x14ac:dyDescent="0.25">
      <c r="A1658">
        <v>10003</v>
      </c>
      <c r="B1658" s="8">
        <v>30</v>
      </c>
      <c r="C1658" s="21" t="s">
        <v>605</v>
      </c>
      <c r="D1658">
        <v>2018</v>
      </c>
      <c r="E1658" s="8">
        <v>22</v>
      </c>
      <c r="F1658" s="9">
        <v>21.89</v>
      </c>
      <c r="G1658" s="8">
        <v>8</v>
      </c>
      <c r="H1658" s="11">
        <v>6.7495000000000003</v>
      </c>
      <c r="I1658" s="9">
        <v>-13.4382</v>
      </c>
      <c r="J1658" s="11" t="s">
        <v>1</v>
      </c>
      <c r="K1658" s="8">
        <v>3.8</v>
      </c>
      <c r="L1658" s="11">
        <v>2.8</v>
      </c>
      <c r="M1658" s="11">
        <v>171</v>
      </c>
      <c r="N1658" s="12" t="s">
        <v>1000</v>
      </c>
      <c r="O1658" s="13" t="s">
        <v>866</v>
      </c>
    </row>
    <row r="1659" spans="1:15" ht="90" x14ac:dyDescent="0.25">
      <c r="A1659">
        <v>10004</v>
      </c>
      <c r="B1659">
        <v>30</v>
      </c>
      <c r="C1659" s="21" t="s">
        <v>605</v>
      </c>
      <c r="D1659">
        <v>2018</v>
      </c>
      <c r="E1659">
        <v>3</v>
      </c>
      <c r="F1659" s="57">
        <v>4.54</v>
      </c>
      <c r="G1659">
        <v>14</v>
      </c>
      <c r="H1659" s="58">
        <v>-27.166899999999998</v>
      </c>
      <c r="I1659" s="57">
        <v>29.564699999999998</v>
      </c>
      <c r="J1659" s="58" t="s">
        <v>1</v>
      </c>
      <c r="L1659" s="26">
        <v>2.9</v>
      </c>
      <c r="M1659" s="58">
        <v>154</v>
      </c>
      <c r="N1659" s="59" t="s">
        <v>6</v>
      </c>
      <c r="O1659" s="61" t="s">
        <v>1409</v>
      </c>
    </row>
    <row r="1660" spans="1:15" ht="45" x14ac:dyDescent="0.25">
      <c r="A1660">
        <v>10005</v>
      </c>
      <c r="B1660" s="8">
        <v>30</v>
      </c>
      <c r="C1660" s="21" t="s">
        <v>605</v>
      </c>
      <c r="D1660">
        <v>2018</v>
      </c>
      <c r="E1660" s="8">
        <v>45</v>
      </c>
      <c r="F1660" s="9">
        <v>3.26</v>
      </c>
      <c r="G1660" s="8">
        <v>15</v>
      </c>
      <c r="H1660" s="11">
        <v>6.0614999999999997</v>
      </c>
      <c r="I1660" s="9">
        <v>-5.2397</v>
      </c>
      <c r="J1660" s="11" t="s">
        <v>1</v>
      </c>
      <c r="K1660" s="8">
        <v>3.9</v>
      </c>
      <c r="L1660" s="11"/>
      <c r="M1660" s="11">
        <v>11</v>
      </c>
      <c r="N1660" s="12" t="s">
        <v>15</v>
      </c>
      <c r="O1660" s="13" t="s">
        <v>1410</v>
      </c>
    </row>
    <row r="1661" spans="1:15" ht="45" x14ac:dyDescent="0.25">
      <c r="A1661">
        <v>10006</v>
      </c>
      <c r="B1661" s="8">
        <v>30</v>
      </c>
      <c r="C1661" s="21" t="s">
        <v>605</v>
      </c>
      <c r="D1661">
        <v>2018</v>
      </c>
      <c r="E1661" s="8">
        <v>24</v>
      </c>
      <c r="F1661" s="9">
        <v>57.52</v>
      </c>
      <c r="G1661" s="8">
        <v>22</v>
      </c>
      <c r="H1661" s="11">
        <v>7.7721</v>
      </c>
      <c r="I1661" s="9">
        <v>-6.9398</v>
      </c>
      <c r="J1661" s="11" t="s">
        <v>1</v>
      </c>
      <c r="K1661" s="8"/>
      <c r="L1661" s="11"/>
      <c r="M1661" s="11">
        <v>37</v>
      </c>
      <c r="N1661" s="12" t="s">
        <v>15</v>
      </c>
      <c r="O1661" s="13" t="s">
        <v>1411</v>
      </c>
    </row>
    <row r="1662" spans="1:15" ht="60" x14ac:dyDescent="0.25">
      <c r="A1662">
        <v>10007</v>
      </c>
      <c r="B1662">
        <v>1</v>
      </c>
      <c r="C1662" s="56" t="s">
        <v>650</v>
      </c>
      <c r="D1662">
        <v>2018</v>
      </c>
      <c r="E1662">
        <v>26</v>
      </c>
      <c r="F1662" s="57">
        <v>30.1</v>
      </c>
      <c r="G1662">
        <v>3</v>
      </c>
      <c r="H1662" s="58">
        <v>-28.632200000000001</v>
      </c>
      <c r="I1662" s="57">
        <v>25.271100000000001</v>
      </c>
      <c r="J1662" s="58" t="s">
        <v>1</v>
      </c>
      <c r="K1662">
        <v>3.7</v>
      </c>
      <c r="L1662" s="26"/>
      <c r="M1662" s="58">
        <v>143</v>
      </c>
      <c r="N1662" s="59" t="s">
        <v>6</v>
      </c>
      <c r="O1662" s="105" t="s">
        <v>789</v>
      </c>
    </row>
    <row r="1663" spans="1:15" x14ac:dyDescent="0.25">
      <c r="A1663">
        <v>10008</v>
      </c>
      <c r="B1663">
        <v>1</v>
      </c>
      <c r="C1663" s="56" t="s">
        <v>650</v>
      </c>
      <c r="D1663">
        <v>2018</v>
      </c>
      <c r="E1663">
        <v>4</v>
      </c>
      <c r="F1663" s="57">
        <v>31.93</v>
      </c>
      <c r="G1663">
        <v>20</v>
      </c>
      <c r="H1663" s="58">
        <v>33.319800000000001</v>
      </c>
      <c r="I1663" s="57">
        <v>-0.66890000000000005</v>
      </c>
      <c r="J1663" s="58" t="s">
        <v>1</v>
      </c>
      <c r="K1663">
        <v>4.3</v>
      </c>
      <c r="L1663" s="26"/>
      <c r="M1663" s="58">
        <v>138</v>
      </c>
      <c r="N1663" s="59" t="s">
        <v>777</v>
      </c>
      <c r="O1663" s="105" t="s">
        <v>1412</v>
      </c>
    </row>
    <row r="1664" spans="1:15" x14ac:dyDescent="0.25">
      <c r="A1664">
        <v>10009</v>
      </c>
      <c r="B1664">
        <v>2</v>
      </c>
      <c r="C1664" s="56" t="s">
        <v>650</v>
      </c>
      <c r="D1664">
        <v>2018</v>
      </c>
      <c r="E1664">
        <v>17</v>
      </c>
      <c r="F1664" s="57">
        <v>5.38</v>
      </c>
      <c r="G1664">
        <v>4</v>
      </c>
      <c r="H1664" s="58">
        <v>13.7082</v>
      </c>
      <c r="I1664" s="57">
        <v>2.2410999999999999</v>
      </c>
      <c r="J1664" s="58" t="s">
        <v>1</v>
      </c>
      <c r="K1664">
        <v>4.2</v>
      </c>
      <c r="L1664" s="26"/>
      <c r="M1664" s="58">
        <v>123</v>
      </c>
      <c r="N1664" s="59" t="s">
        <v>804</v>
      </c>
      <c r="O1664" s="105" t="s">
        <v>1413</v>
      </c>
    </row>
    <row r="1665" spans="1:15" ht="45" x14ac:dyDescent="0.25">
      <c r="A1665">
        <v>10010</v>
      </c>
      <c r="B1665">
        <v>2</v>
      </c>
      <c r="C1665" s="56" t="s">
        <v>650</v>
      </c>
      <c r="D1665">
        <v>2018</v>
      </c>
      <c r="E1665">
        <v>44</v>
      </c>
      <c r="F1665" s="57">
        <v>3.02</v>
      </c>
      <c r="G1665">
        <v>5</v>
      </c>
      <c r="H1665" s="58">
        <v>21.882100000000001</v>
      </c>
      <c r="I1665" s="57">
        <v>-14.8986</v>
      </c>
      <c r="J1665" s="58" t="s">
        <v>1</v>
      </c>
      <c r="K1665">
        <v>3.6</v>
      </c>
      <c r="L1665" s="26"/>
      <c r="M1665" s="58">
        <v>143</v>
      </c>
      <c r="N1665" s="59" t="s">
        <v>1414</v>
      </c>
      <c r="O1665" s="61" t="s">
        <v>1415</v>
      </c>
    </row>
    <row r="1666" spans="1:15" ht="30" x14ac:dyDescent="0.25">
      <c r="A1666">
        <v>10011</v>
      </c>
      <c r="B1666">
        <v>2</v>
      </c>
      <c r="C1666" s="56" t="s">
        <v>650</v>
      </c>
      <c r="D1666">
        <v>2018</v>
      </c>
      <c r="E1666">
        <v>41</v>
      </c>
      <c r="F1666" s="57">
        <v>46.09</v>
      </c>
      <c r="G1666">
        <v>11</v>
      </c>
      <c r="H1666" s="58">
        <v>29.500499999999999</v>
      </c>
      <c r="I1666" s="57">
        <v>-8.1539000000000001</v>
      </c>
      <c r="J1666" s="58" t="s">
        <v>1</v>
      </c>
      <c r="K1666">
        <v>3.6</v>
      </c>
      <c r="L1666" s="26">
        <v>4.5</v>
      </c>
      <c r="M1666" s="58">
        <v>99</v>
      </c>
      <c r="N1666" s="59" t="s">
        <v>28</v>
      </c>
      <c r="O1666" s="105" t="s">
        <v>1416</v>
      </c>
    </row>
    <row r="1667" spans="1:15" ht="30" x14ac:dyDescent="0.25">
      <c r="A1667">
        <v>10012</v>
      </c>
      <c r="B1667">
        <v>2</v>
      </c>
      <c r="C1667" s="56" t="s">
        <v>650</v>
      </c>
      <c r="D1667">
        <v>2018</v>
      </c>
      <c r="E1667">
        <v>24</v>
      </c>
      <c r="F1667" s="57">
        <v>19</v>
      </c>
      <c r="G1667">
        <v>15</v>
      </c>
      <c r="H1667" s="58">
        <v>12.269500000000001</v>
      </c>
      <c r="I1667" s="57">
        <v>1.3069999999999999</v>
      </c>
      <c r="J1667" s="58" t="s">
        <v>1</v>
      </c>
      <c r="K1667">
        <v>4.2</v>
      </c>
      <c r="L1667" s="26"/>
      <c r="M1667" s="58">
        <v>108</v>
      </c>
      <c r="N1667" s="59" t="s">
        <v>1334</v>
      </c>
      <c r="O1667" s="105" t="s">
        <v>1417</v>
      </c>
    </row>
    <row r="1668" spans="1:15" ht="60" x14ac:dyDescent="0.25">
      <c r="A1668">
        <v>10013</v>
      </c>
      <c r="B1668">
        <v>2</v>
      </c>
      <c r="C1668" s="56" t="s">
        <v>650</v>
      </c>
      <c r="D1668">
        <v>2018</v>
      </c>
      <c r="E1668">
        <v>9</v>
      </c>
      <c r="F1668" s="57">
        <v>29.45</v>
      </c>
      <c r="G1668">
        <v>18</v>
      </c>
      <c r="H1668" s="58">
        <v>-26.541499999999999</v>
      </c>
      <c r="I1668" s="57">
        <v>27.850899999999999</v>
      </c>
      <c r="J1668" s="58" t="s">
        <v>1</v>
      </c>
      <c r="K1668">
        <v>4.5</v>
      </c>
      <c r="L1668" s="26">
        <v>3.4</v>
      </c>
      <c r="M1668" s="58">
        <v>150</v>
      </c>
      <c r="N1668" s="59" t="s">
        <v>6</v>
      </c>
      <c r="O1668" s="105" t="s">
        <v>1418</v>
      </c>
    </row>
    <row r="1669" spans="1:15" ht="60" x14ac:dyDescent="0.25">
      <c r="A1669">
        <v>10014</v>
      </c>
      <c r="B1669">
        <v>3</v>
      </c>
      <c r="C1669" s="56" t="s">
        <v>650</v>
      </c>
      <c r="D1669">
        <v>2018</v>
      </c>
      <c r="E1669">
        <v>10</v>
      </c>
      <c r="F1669" s="57">
        <v>46.16</v>
      </c>
      <c r="G1669">
        <v>6</v>
      </c>
      <c r="H1669" s="58">
        <v>-29.0411</v>
      </c>
      <c r="I1669" s="57">
        <v>25.116499999999998</v>
      </c>
      <c r="J1669" s="58" t="s">
        <v>1</v>
      </c>
      <c r="K1669">
        <v>4</v>
      </c>
      <c r="L1669" s="26"/>
      <c r="M1669" s="58">
        <v>156</v>
      </c>
      <c r="N1669" s="59" t="s">
        <v>6</v>
      </c>
      <c r="O1669" s="105" t="s">
        <v>780</v>
      </c>
    </row>
    <row r="1670" spans="1:15" ht="60" x14ac:dyDescent="0.25">
      <c r="A1670">
        <v>10015</v>
      </c>
      <c r="B1670">
        <v>3</v>
      </c>
      <c r="C1670" s="56" t="s">
        <v>650</v>
      </c>
      <c r="D1670">
        <v>2018</v>
      </c>
      <c r="E1670">
        <v>47</v>
      </c>
      <c r="F1670" s="57">
        <v>14.81</v>
      </c>
      <c r="G1670">
        <v>9</v>
      </c>
      <c r="H1670" s="58">
        <v>-28.0152</v>
      </c>
      <c r="I1670" s="57">
        <v>24.894200000000001</v>
      </c>
      <c r="J1670" s="58" t="s">
        <v>1</v>
      </c>
      <c r="K1670">
        <v>4</v>
      </c>
      <c r="L1670" s="26"/>
      <c r="M1670" s="58">
        <v>43</v>
      </c>
      <c r="N1670" s="59" t="s">
        <v>6</v>
      </c>
      <c r="O1670" s="105" t="s">
        <v>806</v>
      </c>
    </row>
    <row r="1671" spans="1:15" ht="30" x14ac:dyDescent="0.25">
      <c r="A1671">
        <v>10016</v>
      </c>
      <c r="B1671">
        <v>3</v>
      </c>
      <c r="C1671" s="56" t="s">
        <v>650</v>
      </c>
      <c r="D1671">
        <v>2018</v>
      </c>
      <c r="E1671">
        <v>8</v>
      </c>
      <c r="F1671" s="57">
        <v>44.89</v>
      </c>
      <c r="G1671">
        <v>14</v>
      </c>
      <c r="H1671" s="58">
        <v>31.590800000000002</v>
      </c>
      <c r="I1671" s="57">
        <v>-8.4868000000000006</v>
      </c>
      <c r="J1671" s="58" t="s">
        <v>1</v>
      </c>
      <c r="K1671">
        <v>2.8</v>
      </c>
      <c r="L1671" s="26"/>
      <c r="M1671" s="58">
        <v>85</v>
      </c>
      <c r="N1671" s="59" t="s">
        <v>28</v>
      </c>
      <c r="O1671" s="105" t="s">
        <v>1419</v>
      </c>
    </row>
    <row r="1672" spans="1:15" x14ac:dyDescent="0.25">
      <c r="A1672">
        <v>10017</v>
      </c>
      <c r="B1672">
        <v>4</v>
      </c>
      <c r="C1672" s="56" t="s">
        <v>650</v>
      </c>
      <c r="D1672">
        <v>2018</v>
      </c>
      <c r="E1672">
        <v>26</v>
      </c>
      <c r="F1672" s="57">
        <v>30.31</v>
      </c>
      <c r="G1672">
        <v>8</v>
      </c>
      <c r="H1672" s="58">
        <v>12.087899999999999</v>
      </c>
      <c r="I1672" s="57">
        <v>2.4670999999999998</v>
      </c>
      <c r="J1672" s="58" t="s">
        <v>1</v>
      </c>
      <c r="K1672">
        <v>4.3</v>
      </c>
      <c r="L1672" s="26"/>
      <c r="M1672" s="58">
        <v>45</v>
      </c>
      <c r="N1672" s="59" t="s">
        <v>1420</v>
      </c>
      <c r="O1672" s="105" t="s">
        <v>1421</v>
      </c>
    </row>
    <row r="1673" spans="1:15" ht="60" x14ac:dyDescent="0.25">
      <c r="A1673">
        <v>10018</v>
      </c>
      <c r="B1673">
        <v>4</v>
      </c>
      <c r="C1673" s="56" t="s">
        <v>650</v>
      </c>
      <c r="D1673">
        <v>2018</v>
      </c>
      <c r="E1673">
        <v>8</v>
      </c>
      <c r="F1673" s="57">
        <v>41.43</v>
      </c>
      <c r="G1673">
        <v>12</v>
      </c>
      <c r="H1673" s="58">
        <v>-26.083500000000001</v>
      </c>
      <c r="I1673" s="57">
        <v>27.279499999999999</v>
      </c>
      <c r="J1673" s="58" t="s">
        <v>1</v>
      </c>
      <c r="K1673">
        <v>3.8</v>
      </c>
      <c r="L1673" s="26">
        <v>3.6</v>
      </c>
      <c r="M1673" s="58">
        <v>107</v>
      </c>
      <c r="N1673" s="59" t="s">
        <v>6</v>
      </c>
      <c r="O1673" s="105" t="s">
        <v>1422</v>
      </c>
    </row>
    <row r="1674" spans="1:15" ht="60" x14ac:dyDescent="0.25">
      <c r="A1674">
        <v>10019</v>
      </c>
      <c r="B1674">
        <v>4</v>
      </c>
      <c r="C1674" s="56" t="s">
        <v>650</v>
      </c>
      <c r="D1674">
        <v>2018</v>
      </c>
      <c r="E1674">
        <v>36</v>
      </c>
      <c r="F1674" s="57">
        <v>19.61</v>
      </c>
      <c r="G1674">
        <v>13</v>
      </c>
      <c r="H1674" s="58">
        <v>-27.779599999999999</v>
      </c>
      <c r="I1674" s="57">
        <v>23.241800000000001</v>
      </c>
      <c r="J1674" s="58" t="s">
        <v>1</v>
      </c>
      <c r="K1674">
        <v>4.4000000000000004</v>
      </c>
      <c r="L1674" s="26"/>
      <c r="M1674" s="58">
        <v>16</v>
      </c>
      <c r="N1674" s="59" t="s">
        <v>6</v>
      </c>
      <c r="O1674" s="61" t="s">
        <v>923</v>
      </c>
    </row>
    <row r="1675" spans="1:15" x14ac:dyDescent="0.25">
      <c r="A1675">
        <v>10020</v>
      </c>
      <c r="B1675">
        <v>6</v>
      </c>
      <c r="C1675" s="56" t="s">
        <v>650</v>
      </c>
      <c r="D1675">
        <v>2018</v>
      </c>
      <c r="E1675">
        <v>17</v>
      </c>
      <c r="F1675" s="57">
        <v>58.11</v>
      </c>
      <c r="G1675">
        <v>7</v>
      </c>
      <c r="H1675" s="58">
        <v>7.8353999999999999</v>
      </c>
      <c r="I1675" s="57">
        <v>3.2957000000000001</v>
      </c>
      <c r="J1675" s="58" t="s">
        <v>1</v>
      </c>
      <c r="K1675">
        <v>4.0999999999999996</v>
      </c>
      <c r="L1675" s="26"/>
      <c r="M1675" s="58">
        <v>101</v>
      </c>
      <c r="N1675" s="59" t="s">
        <v>1423</v>
      </c>
      <c r="O1675" s="105" t="s">
        <v>1424</v>
      </c>
    </row>
    <row r="1676" spans="1:15" ht="30" x14ac:dyDescent="0.25">
      <c r="A1676">
        <v>10021</v>
      </c>
      <c r="B1676">
        <v>6</v>
      </c>
      <c r="C1676" s="56" t="s">
        <v>650</v>
      </c>
      <c r="D1676">
        <v>2018</v>
      </c>
      <c r="E1676">
        <v>20</v>
      </c>
      <c r="F1676" s="57">
        <v>10.08</v>
      </c>
      <c r="G1676">
        <v>7</v>
      </c>
      <c r="H1676" s="58">
        <v>29.011299999999999</v>
      </c>
      <c r="I1676" s="57">
        <v>-6.0955000000000004</v>
      </c>
      <c r="J1676" s="58" t="s">
        <v>1</v>
      </c>
      <c r="K1676">
        <v>3.9</v>
      </c>
      <c r="L1676" s="26"/>
      <c r="M1676" s="58">
        <v>99</v>
      </c>
      <c r="N1676" s="59" t="s">
        <v>28</v>
      </c>
      <c r="O1676" s="105" t="s">
        <v>1425</v>
      </c>
    </row>
    <row r="1677" spans="1:15" ht="45" x14ac:dyDescent="0.25">
      <c r="A1677">
        <v>10022</v>
      </c>
      <c r="B1677">
        <v>6</v>
      </c>
      <c r="C1677" s="56" t="s">
        <v>650</v>
      </c>
      <c r="D1677">
        <v>2018</v>
      </c>
      <c r="E1677">
        <v>39</v>
      </c>
      <c r="F1677" s="57">
        <v>20.53</v>
      </c>
      <c r="G1677">
        <v>7</v>
      </c>
      <c r="H1677" s="58">
        <v>23.3445</v>
      </c>
      <c r="I1677" s="57">
        <v>-12.3774</v>
      </c>
      <c r="J1677" s="58" t="s">
        <v>1</v>
      </c>
      <c r="K1677">
        <v>3.8</v>
      </c>
      <c r="L1677" s="26">
        <v>3.4</v>
      </c>
      <c r="M1677" s="58">
        <v>46</v>
      </c>
      <c r="N1677" s="59" t="s">
        <v>1414</v>
      </c>
      <c r="O1677" s="61" t="s">
        <v>1426</v>
      </c>
    </row>
    <row r="1678" spans="1:15" ht="60" x14ac:dyDescent="0.25">
      <c r="A1678">
        <v>10023</v>
      </c>
      <c r="B1678">
        <v>6</v>
      </c>
      <c r="C1678" s="56" t="s">
        <v>650</v>
      </c>
      <c r="D1678">
        <v>2018</v>
      </c>
      <c r="E1678">
        <v>26</v>
      </c>
      <c r="F1678" s="57">
        <v>53.44</v>
      </c>
      <c r="G1678">
        <v>15</v>
      </c>
      <c r="H1678" s="58">
        <v>-29.889500000000002</v>
      </c>
      <c r="I1678" s="57">
        <v>26.227499999999999</v>
      </c>
      <c r="J1678" s="58" t="s">
        <v>1</v>
      </c>
      <c r="K1678">
        <v>3.7</v>
      </c>
      <c r="L1678" s="26"/>
      <c r="M1678" s="58">
        <v>58</v>
      </c>
      <c r="N1678" s="59" t="s">
        <v>6</v>
      </c>
      <c r="O1678" s="105" t="s">
        <v>783</v>
      </c>
    </row>
    <row r="1679" spans="1:15" ht="60" x14ac:dyDescent="0.25">
      <c r="A1679">
        <v>10024</v>
      </c>
      <c r="B1679">
        <v>8</v>
      </c>
      <c r="C1679" s="56" t="s">
        <v>650</v>
      </c>
      <c r="D1679">
        <v>2018</v>
      </c>
      <c r="E1679">
        <v>34</v>
      </c>
      <c r="F1679" s="57">
        <v>30.86</v>
      </c>
      <c r="G1679">
        <v>11</v>
      </c>
      <c r="H1679" s="58">
        <v>-27.994199999999999</v>
      </c>
      <c r="I1679" s="57">
        <v>25.938099999999999</v>
      </c>
      <c r="J1679" s="58" t="s">
        <v>1</v>
      </c>
      <c r="K1679">
        <v>3.6</v>
      </c>
      <c r="L1679" s="26"/>
      <c r="M1679" s="58">
        <v>125</v>
      </c>
      <c r="N1679" s="59" t="s">
        <v>6</v>
      </c>
      <c r="O1679" s="105" t="s">
        <v>867</v>
      </c>
    </row>
    <row r="1680" spans="1:15" ht="60" x14ac:dyDescent="0.25">
      <c r="A1680">
        <v>10025</v>
      </c>
      <c r="B1680">
        <v>8</v>
      </c>
      <c r="C1680" s="56" t="s">
        <v>650</v>
      </c>
      <c r="D1680">
        <v>2018</v>
      </c>
      <c r="E1680">
        <v>12</v>
      </c>
      <c r="F1680" s="57">
        <v>42.5</v>
      </c>
      <c r="G1680">
        <v>17</v>
      </c>
      <c r="H1680" s="58">
        <v>-27.0137</v>
      </c>
      <c r="I1680" s="57">
        <v>28.613099999999999</v>
      </c>
      <c r="J1680" s="58" t="s">
        <v>1</v>
      </c>
      <c r="K1680">
        <v>4.2</v>
      </c>
      <c r="L1680" s="26">
        <v>3</v>
      </c>
      <c r="M1680" s="58">
        <v>153</v>
      </c>
      <c r="N1680" s="59" t="s">
        <v>6</v>
      </c>
      <c r="O1680" s="105" t="s">
        <v>1427</v>
      </c>
    </row>
    <row r="1681" spans="1:15" ht="30" x14ac:dyDescent="0.25">
      <c r="A1681">
        <v>10026</v>
      </c>
      <c r="B1681" s="8">
        <v>8</v>
      </c>
      <c r="C1681" s="56" t="s">
        <v>650</v>
      </c>
      <c r="D1681">
        <v>2018</v>
      </c>
      <c r="E1681" s="8">
        <v>5</v>
      </c>
      <c r="F1681" s="9">
        <v>37.71</v>
      </c>
      <c r="G1681" s="8">
        <v>18</v>
      </c>
      <c r="H1681" s="11">
        <v>6.6497999999999999</v>
      </c>
      <c r="I1681" s="9">
        <v>-4.9840999999999998</v>
      </c>
      <c r="J1681" s="11" t="s">
        <v>1</v>
      </c>
      <c r="K1681" s="8">
        <v>4.0999999999999996</v>
      </c>
      <c r="L1681" s="11"/>
      <c r="M1681" s="11">
        <v>81</v>
      </c>
      <c r="N1681" s="12" t="s">
        <v>1310</v>
      </c>
      <c r="O1681" s="106" t="s">
        <v>1428</v>
      </c>
    </row>
    <row r="1682" spans="1:15" ht="60" x14ac:dyDescent="0.25">
      <c r="A1682">
        <v>10027</v>
      </c>
      <c r="B1682">
        <v>9</v>
      </c>
      <c r="C1682" s="56" t="s">
        <v>650</v>
      </c>
      <c r="D1682">
        <v>2018</v>
      </c>
      <c r="E1682">
        <v>59</v>
      </c>
      <c r="F1682" s="57">
        <v>46.2</v>
      </c>
      <c r="G1682">
        <v>14</v>
      </c>
      <c r="H1682" s="58">
        <v>-29.903300000000002</v>
      </c>
      <c r="I1682" s="57">
        <v>24.01</v>
      </c>
      <c r="J1682" s="58" t="s">
        <v>1</v>
      </c>
      <c r="K1682">
        <v>4.4000000000000004</v>
      </c>
      <c r="L1682" s="26"/>
      <c r="M1682" s="58">
        <v>126</v>
      </c>
      <c r="N1682" s="59" t="s">
        <v>6</v>
      </c>
      <c r="O1682" s="105" t="s">
        <v>1360</v>
      </c>
    </row>
    <row r="1683" spans="1:15" ht="60" x14ac:dyDescent="0.25">
      <c r="A1683">
        <v>10028</v>
      </c>
      <c r="B1683">
        <v>9</v>
      </c>
      <c r="C1683" s="56" t="s">
        <v>650</v>
      </c>
      <c r="D1683">
        <v>2018</v>
      </c>
      <c r="E1683">
        <v>1</v>
      </c>
      <c r="F1683" s="57">
        <v>8.0500000000000007</v>
      </c>
      <c r="G1683">
        <v>18</v>
      </c>
      <c r="H1683" s="58">
        <v>-29.075600000000001</v>
      </c>
      <c r="I1683" s="57">
        <v>24.7501</v>
      </c>
      <c r="J1683" s="58" t="s">
        <v>1</v>
      </c>
      <c r="K1683">
        <v>4.4000000000000004</v>
      </c>
      <c r="L1683" s="26"/>
      <c r="M1683" s="58">
        <v>142</v>
      </c>
      <c r="N1683" s="59" t="s">
        <v>6</v>
      </c>
      <c r="O1683" s="105" t="s">
        <v>780</v>
      </c>
    </row>
    <row r="1684" spans="1:15" ht="60" x14ac:dyDescent="0.25">
      <c r="A1684">
        <v>10029</v>
      </c>
      <c r="B1684">
        <v>10</v>
      </c>
      <c r="C1684" s="56" t="s">
        <v>650</v>
      </c>
      <c r="D1684">
        <v>2018</v>
      </c>
      <c r="E1684">
        <v>36</v>
      </c>
      <c r="F1684" s="57">
        <v>4.05</v>
      </c>
      <c r="G1684">
        <v>12</v>
      </c>
      <c r="H1684" s="58">
        <v>-31.2315</v>
      </c>
      <c r="I1684" s="57">
        <v>23.615200000000002</v>
      </c>
      <c r="J1684" s="58" t="s">
        <v>1</v>
      </c>
      <c r="K1684">
        <v>4</v>
      </c>
      <c r="L1684" s="26">
        <v>3.3</v>
      </c>
      <c r="M1684" s="58">
        <v>96</v>
      </c>
      <c r="N1684" s="59" t="s">
        <v>6</v>
      </c>
      <c r="O1684" s="105" t="s">
        <v>1429</v>
      </c>
    </row>
    <row r="1685" spans="1:15" ht="45" x14ac:dyDescent="0.25">
      <c r="A1685">
        <v>10030</v>
      </c>
      <c r="B1685" s="8">
        <v>11</v>
      </c>
      <c r="C1685" s="56" t="s">
        <v>650</v>
      </c>
      <c r="D1685">
        <v>2018</v>
      </c>
      <c r="E1685" s="8">
        <v>6</v>
      </c>
      <c r="F1685" s="9">
        <v>18.22</v>
      </c>
      <c r="G1685" s="8">
        <v>5</v>
      </c>
      <c r="H1685" s="11">
        <v>5.2375999999999996</v>
      </c>
      <c r="I1685" s="9">
        <v>-4.9371</v>
      </c>
      <c r="J1685" s="11" t="s">
        <v>1</v>
      </c>
      <c r="K1685" s="8">
        <v>4.4000000000000004</v>
      </c>
      <c r="L1685" s="11"/>
      <c r="M1685" s="11">
        <v>97</v>
      </c>
      <c r="N1685" s="12" t="s">
        <v>15</v>
      </c>
      <c r="O1685" s="13" t="s">
        <v>1430</v>
      </c>
    </row>
    <row r="1686" spans="1:15" ht="45" x14ac:dyDescent="0.25">
      <c r="A1686">
        <v>10031</v>
      </c>
      <c r="B1686" s="8">
        <v>11</v>
      </c>
      <c r="C1686" s="56" t="s">
        <v>650</v>
      </c>
      <c r="D1686">
        <v>2018</v>
      </c>
      <c r="E1686" s="8">
        <v>35</v>
      </c>
      <c r="F1686" s="9">
        <v>37.729999999999997</v>
      </c>
      <c r="G1686" s="8">
        <v>8</v>
      </c>
      <c r="H1686" s="11">
        <v>6.6260000000000003</v>
      </c>
      <c r="I1686" s="9">
        <v>-4.7811000000000003</v>
      </c>
      <c r="J1686" s="11" t="s">
        <v>1</v>
      </c>
      <c r="K1686" s="8">
        <v>4.3</v>
      </c>
      <c r="L1686" s="11"/>
      <c r="M1686" s="11">
        <v>120</v>
      </c>
      <c r="N1686" s="12" t="s">
        <v>15</v>
      </c>
      <c r="O1686" s="13" t="s">
        <v>1431</v>
      </c>
    </row>
    <row r="1687" spans="1:15" ht="60" x14ac:dyDescent="0.25">
      <c r="A1687">
        <v>10032</v>
      </c>
      <c r="B1687">
        <v>11</v>
      </c>
      <c r="C1687" s="56" t="s">
        <v>650</v>
      </c>
      <c r="D1687">
        <v>2018</v>
      </c>
      <c r="E1687">
        <v>51</v>
      </c>
      <c r="F1687" s="57">
        <v>3.32</v>
      </c>
      <c r="G1687">
        <v>20</v>
      </c>
      <c r="H1687" s="58">
        <v>2.6577999999999999</v>
      </c>
      <c r="I1687" s="57">
        <v>34.164099999999998</v>
      </c>
      <c r="J1687" s="58" t="s">
        <v>1</v>
      </c>
      <c r="K1687">
        <v>4.3</v>
      </c>
      <c r="L1687" s="26"/>
      <c r="M1687" s="58">
        <v>154</v>
      </c>
      <c r="N1687" s="59" t="s">
        <v>484</v>
      </c>
      <c r="O1687" s="61" t="s">
        <v>1432</v>
      </c>
    </row>
    <row r="1688" spans="1:15" ht="60" x14ac:dyDescent="0.25">
      <c r="A1688">
        <v>10033</v>
      </c>
      <c r="B1688">
        <v>13</v>
      </c>
      <c r="C1688" s="56" t="s">
        <v>650</v>
      </c>
      <c r="D1688">
        <v>2018</v>
      </c>
      <c r="E1688">
        <v>28</v>
      </c>
      <c r="F1688" s="57">
        <v>1.35</v>
      </c>
      <c r="G1688">
        <v>4</v>
      </c>
      <c r="H1688" s="58">
        <v>-13.0944</v>
      </c>
      <c r="I1688" s="57">
        <v>45.107999999999997</v>
      </c>
      <c r="J1688" s="58" t="s">
        <v>1</v>
      </c>
      <c r="K1688">
        <v>4.2</v>
      </c>
      <c r="L1688" s="26"/>
      <c r="M1688" s="58">
        <v>88</v>
      </c>
      <c r="N1688" s="59" t="s">
        <v>241</v>
      </c>
      <c r="O1688" s="61" t="s">
        <v>895</v>
      </c>
    </row>
    <row r="1689" spans="1:15" ht="60" x14ac:dyDescent="0.25">
      <c r="A1689">
        <v>10034</v>
      </c>
      <c r="B1689">
        <v>14</v>
      </c>
      <c r="C1689" s="56" t="s">
        <v>650</v>
      </c>
      <c r="D1689">
        <v>2018</v>
      </c>
      <c r="E1689">
        <v>12</v>
      </c>
      <c r="F1689" s="57">
        <v>1.95</v>
      </c>
      <c r="G1689">
        <v>4</v>
      </c>
      <c r="H1689" s="58">
        <v>-13.109500000000001</v>
      </c>
      <c r="I1689" s="57">
        <v>45.387900000000002</v>
      </c>
      <c r="J1689" s="58" t="s">
        <v>1</v>
      </c>
      <c r="K1689">
        <v>4.2</v>
      </c>
      <c r="L1689" s="26"/>
      <c r="M1689" s="58">
        <v>81</v>
      </c>
      <c r="N1689" s="59" t="s">
        <v>241</v>
      </c>
      <c r="O1689" s="61" t="s">
        <v>895</v>
      </c>
    </row>
    <row r="1690" spans="1:15" ht="60" x14ac:dyDescent="0.25">
      <c r="A1690">
        <v>10035</v>
      </c>
      <c r="B1690">
        <v>14</v>
      </c>
      <c r="C1690" s="56" t="s">
        <v>650</v>
      </c>
      <c r="D1690">
        <v>2018</v>
      </c>
      <c r="E1690">
        <v>18</v>
      </c>
      <c r="F1690" s="57">
        <v>32.130000000000003</v>
      </c>
      <c r="G1690">
        <v>12</v>
      </c>
      <c r="H1690" s="58">
        <v>-13.8172</v>
      </c>
      <c r="I1690" s="57">
        <v>45.7744</v>
      </c>
      <c r="J1690" s="58" t="s">
        <v>1</v>
      </c>
      <c r="K1690">
        <v>3.7</v>
      </c>
      <c r="L1690" s="26"/>
      <c r="M1690" s="58">
        <v>140</v>
      </c>
      <c r="N1690" s="59" t="s">
        <v>241</v>
      </c>
      <c r="O1690" s="61" t="s">
        <v>895</v>
      </c>
    </row>
    <row r="1691" spans="1:15" ht="60" x14ac:dyDescent="0.25">
      <c r="A1691">
        <v>10036</v>
      </c>
      <c r="B1691">
        <v>14</v>
      </c>
      <c r="C1691" s="56" t="s">
        <v>650</v>
      </c>
      <c r="D1691">
        <v>2018</v>
      </c>
      <c r="E1691">
        <v>41</v>
      </c>
      <c r="F1691" s="57">
        <v>42.24</v>
      </c>
      <c r="G1691">
        <v>14</v>
      </c>
      <c r="H1691" s="58">
        <v>-12.864100000000001</v>
      </c>
      <c r="I1691" s="57">
        <v>45.371200000000002</v>
      </c>
      <c r="J1691" s="58" t="s">
        <v>1</v>
      </c>
      <c r="K1691">
        <v>4.5</v>
      </c>
      <c r="L1691" s="26"/>
      <c r="M1691" s="58">
        <v>82</v>
      </c>
      <c r="N1691" s="59" t="s">
        <v>241</v>
      </c>
      <c r="O1691" s="61" t="s">
        <v>895</v>
      </c>
    </row>
    <row r="1692" spans="1:15" ht="75" x14ac:dyDescent="0.25">
      <c r="A1692">
        <v>10037</v>
      </c>
      <c r="B1692" s="8">
        <v>14</v>
      </c>
      <c r="C1692" s="56" t="s">
        <v>650</v>
      </c>
      <c r="D1692">
        <v>2018</v>
      </c>
      <c r="E1692" s="8">
        <v>33</v>
      </c>
      <c r="F1692" s="9">
        <v>23.24</v>
      </c>
      <c r="G1692" s="8">
        <v>16</v>
      </c>
      <c r="H1692" s="11">
        <v>7.0542999999999996</v>
      </c>
      <c r="I1692" s="9">
        <v>-5.2321</v>
      </c>
      <c r="J1692" s="11" t="s">
        <v>1</v>
      </c>
      <c r="K1692" s="8">
        <v>4.3</v>
      </c>
      <c r="L1692" s="11"/>
      <c r="M1692" s="11">
        <v>166</v>
      </c>
      <c r="N1692" s="12" t="s">
        <v>15</v>
      </c>
      <c r="O1692" s="13" t="s">
        <v>1433</v>
      </c>
    </row>
    <row r="1693" spans="1:15" ht="45" x14ac:dyDescent="0.25">
      <c r="A1693">
        <v>10038</v>
      </c>
      <c r="B1693" s="8">
        <v>14</v>
      </c>
      <c r="C1693" s="56" t="s">
        <v>650</v>
      </c>
      <c r="D1693">
        <v>2018</v>
      </c>
      <c r="E1693" s="8">
        <v>42</v>
      </c>
      <c r="F1693" s="9">
        <v>4.91</v>
      </c>
      <c r="G1693" s="8">
        <v>20</v>
      </c>
      <c r="H1693" s="11">
        <v>22.078499999999998</v>
      </c>
      <c r="I1693" s="9">
        <v>-12.8926</v>
      </c>
      <c r="J1693" s="11" t="s">
        <v>1</v>
      </c>
      <c r="K1693" s="8">
        <v>3.7</v>
      </c>
      <c r="L1693" s="11">
        <v>3.3</v>
      </c>
      <c r="M1693" s="11">
        <v>67</v>
      </c>
      <c r="N1693" s="12" t="s">
        <v>15</v>
      </c>
      <c r="O1693" s="13" t="s">
        <v>1434</v>
      </c>
    </row>
    <row r="1694" spans="1:15" ht="60" x14ac:dyDescent="0.25">
      <c r="A1694">
        <v>10039</v>
      </c>
      <c r="B1694">
        <v>15</v>
      </c>
      <c r="C1694" s="56" t="s">
        <v>650</v>
      </c>
      <c r="D1694">
        <v>2018</v>
      </c>
      <c r="E1694">
        <v>59</v>
      </c>
      <c r="F1694" s="57">
        <v>0.71</v>
      </c>
      <c r="G1694">
        <v>8</v>
      </c>
      <c r="H1694" s="58">
        <v>-12.431699999999999</v>
      </c>
      <c r="I1694" s="57">
        <v>43.4238</v>
      </c>
      <c r="J1694" s="58">
        <v>357.7</v>
      </c>
      <c r="K1694">
        <v>3.1</v>
      </c>
      <c r="L1694" s="26"/>
      <c r="M1694" s="58">
        <v>84</v>
      </c>
      <c r="N1694" s="59" t="s">
        <v>241</v>
      </c>
      <c r="O1694" s="61" t="s">
        <v>1435</v>
      </c>
    </row>
    <row r="1695" spans="1:15" ht="60" x14ac:dyDescent="0.25">
      <c r="A1695">
        <v>10040</v>
      </c>
      <c r="B1695">
        <v>15</v>
      </c>
      <c r="C1695" s="56" t="s">
        <v>650</v>
      </c>
      <c r="D1695">
        <v>2018</v>
      </c>
      <c r="E1695">
        <v>26</v>
      </c>
      <c r="F1695" s="57">
        <v>49.11</v>
      </c>
      <c r="G1695">
        <v>11</v>
      </c>
      <c r="H1695" s="58">
        <v>-12.849</v>
      </c>
      <c r="I1695" s="57">
        <v>45.508099999999999</v>
      </c>
      <c r="J1695" s="58" t="s">
        <v>1</v>
      </c>
      <c r="K1695">
        <v>4.3</v>
      </c>
      <c r="L1695" s="26"/>
      <c r="M1695" s="58">
        <v>89</v>
      </c>
      <c r="N1695" s="59" t="s">
        <v>241</v>
      </c>
      <c r="O1695" s="61" t="s">
        <v>1436</v>
      </c>
    </row>
    <row r="1696" spans="1:15" ht="90" x14ac:dyDescent="0.25">
      <c r="A1696">
        <v>10041</v>
      </c>
      <c r="B1696">
        <v>15</v>
      </c>
      <c r="C1696" s="56" t="s">
        <v>650</v>
      </c>
      <c r="D1696">
        <v>2018</v>
      </c>
      <c r="E1696">
        <v>26</v>
      </c>
      <c r="F1696" s="57">
        <v>33.69</v>
      </c>
      <c r="G1696">
        <v>15</v>
      </c>
      <c r="H1696" s="58">
        <v>-25.512799999999999</v>
      </c>
      <c r="I1696" s="57">
        <v>28.1906</v>
      </c>
      <c r="J1696" s="58" t="s">
        <v>1</v>
      </c>
      <c r="K1696">
        <v>4.2</v>
      </c>
      <c r="L1696" s="26">
        <v>2.6</v>
      </c>
      <c r="M1696" s="58">
        <v>120</v>
      </c>
      <c r="N1696" s="59" t="s">
        <v>6</v>
      </c>
      <c r="O1696" s="61" t="s">
        <v>1437</v>
      </c>
    </row>
    <row r="1697" spans="1:15" ht="60" x14ac:dyDescent="0.25">
      <c r="A1697">
        <v>10042</v>
      </c>
      <c r="B1697">
        <v>15</v>
      </c>
      <c r="C1697" s="56" t="s">
        <v>650</v>
      </c>
      <c r="D1697">
        <v>2018</v>
      </c>
      <c r="E1697">
        <v>48</v>
      </c>
      <c r="F1697" s="57">
        <v>7.34</v>
      </c>
      <c r="G1697">
        <v>15</v>
      </c>
      <c r="H1697" s="58">
        <v>-12.783899999999999</v>
      </c>
      <c r="I1697" s="57">
        <v>45.615299999999998</v>
      </c>
      <c r="J1697" s="58" t="s">
        <v>1</v>
      </c>
      <c r="K1697">
        <v>5</v>
      </c>
      <c r="L1697" s="26"/>
      <c r="M1697" s="58">
        <v>59</v>
      </c>
      <c r="N1697" s="59" t="s">
        <v>241</v>
      </c>
      <c r="O1697" s="61" t="s">
        <v>1436</v>
      </c>
    </row>
    <row r="1698" spans="1:15" ht="60" x14ac:dyDescent="0.25">
      <c r="A1698">
        <v>10043</v>
      </c>
      <c r="B1698">
        <v>15</v>
      </c>
      <c r="C1698" s="56" t="s">
        <v>650</v>
      </c>
      <c r="D1698">
        <v>2018</v>
      </c>
      <c r="E1698">
        <v>25</v>
      </c>
      <c r="F1698" s="57">
        <v>17.45</v>
      </c>
      <c r="G1698">
        <v>20</v>
      </c>
      <c r="H1698" s="58">
        <v>-12.9979</v>
      </c>
      <c r="I1698" s="57">
        <v>45.185699999999997</v>
      </c>
      <c r="J1698" s="58" t="s">
        <v>1</v>
      </c>
      <c r="K1698">
        <v>4.0999999999999996</v>
      </c>
      <c r="L1698" s="26"/>
      <c r="M1698" s="58">
        <v>83</v>
      </c>
      <c r="N1698" s="59" t="s">
        <v>241</v>
      </c>
      <c r="O1698" s="61" t="s">
        <v>1436</v>
      </c>
    </row>
    <row r="1699" spans="1:15" ht="45" x14ac:dyDescent="0.25">
      <c r="A1699">
        <v>10044</v>
      </c>
      <c r="B1699" s="8">
        <v>16</v>
      </c>
      <c r="C1699" s="56" t="s">
        <v>650</v>
      </c>
      <c r="D1699">
        <v>2018</v>
      </c>
      <c r="E1699" s="8">
        <v>30</v>
      </c>
      <c r="F1699" s="9">
        <v>27.1</v>
      </c>
      <c r="G1699" s="8">
        <v>5</v>
      </c>
      <c r="H1699" s="11">
        <v>13.1172</v>
      </c>
      <c r="I1699" s="9">
        <v>0.72050000000000003</v>
      </c>
      <c r="J1699" s="11" t="s">
        <v>1</v>
      </c>
      <c r="K1699" s="8">
        <v>3.6</v>
      </c>
      <c r="L1699" s="11"/>
      <c r="M1699" s="11">
        <v>22</v>
      </c>
      <c r="N1699" s="12" t="s">
        <v>15</v>
      </c>
      <c r="O1699" s="13" t="s">
        <v>1438</v>
      </c>
    </row>
    <row r="1700" spans="1:15" ht="60" x14ac:dyDescent="0.25">
      <c r="A1700">
        <v>10045</v>
      </c>
      <c r="B1700">
        <v>16</v>
      </c>
      <c r="C1700" s="56" t="s">
        <v>650</v>
      </c>
      <c r="D1700">
        <v>2018</v>
      </c>
      <c r="E1700">
        <v>6</v>
      </c>
      <c r="F1700" s="57">
        <v>7.67</v>
      </c>
      <c r="G1700">
        <v>11</v>
      </c>
      <c r="H1700" s="58">
        <v>-13.6953</v>
      </c>
      <c r="I1700" s="57">
        <v>45.061300000000003</v>
      </c>
      <c r="J1700" s="58" t="s">
        <v>1</v>
      </c>
      <c r="K1700">
        <v>3.6</v>
      </c>
      <c r="L1700" s="26"/>
      <c r="M1700" s="58">
        <v>140</v>
      </c>
      <c r="N1700" s="59" t="s">
        <v>241</v>
      </c>
      <c r="O1700" s="61" t="s">
        <v>1439</v>
      </c>
    </row>
    <row r="1701" spans="1:15" ht="60" x14ac:dyDescent="0.25">
      <c r="A1701">
        <v>10046</v>
      </c>
      <c r="B1701">
        <v>16</v>
      </c>
      <c r="C1701" s="56" t="s">
        <v>650</v>
      </c>
      <c r="D1701">
        <v>2018</v>
      </c>
      <c r="E1701">
        <v>4</v>
      </c>
      <c r="F1701" s="57">
        <v>28.7</v>
      </c>
      <c r="G1701">
        <v>14</v>
      </c>
      <c r="H1701" s="58">
        <v>-29.852399999999999</v>
      </c>
      <c r="I1701" s="57">
        <v>26.517099999999999</v>
      </c>
      <c r="J1701" s="58" t="s">
        <v>1</v>
      </c>
      <c r="K1701">
        <v>4.2</v>
      </c>
      <c r="L1701" s="26"/>
      <c r="M1701" s="58">
        <v>56</v>
      </c>
      <c r="N1701" s="59" t="s">
        <v>6</v>
      </c>
      <c r="O1701" s="61" t="s">
        <v>1440</v>
      </c>
    </row>
    <row r="1702" spans="1:15" ht="60" x14ac:dyDescent="0.25">
      <c r="A1702">
        <v>10047</v>
      </c>
      <c r="B1702">
        <v>16</v>
      </c>
      <c r="C1702" s="56" t="s">
        <v>650</v>
      </c>
      <c r="D1702">
        <v>2018</v>
      </c>
      <c r="E1702">
        <v>2</v>
      </c>
      <c r="F1702" s="57">
        <v>4.83</v>
      </c>
      <c r="G1702">
        <v>16</v>
      </c>
      <c r="H1702" s="58">
        <v>-29.036000000000001</v>
      </c>
      <c r="I1702" s="57">
        <v>25.527699999999999</v>
      </c>
      <c r="J1702" s="58" t="s">
        <v>1</v>
      </c>
      <c r="K1702">
        <v>3.9</v>
      </c>
      <c r="L1702" s="26"/>
      <c r="M1702" s="58">
        <v>165</v>
      </c>
      <c r="N1702" s="59" t="s">
        <v>6</v>
      </c>
      <c r="O1702" s="61" t="s">
        <v>1441</v>
      </c>
    </row>
    <row r="1703" spans="1:15" ht="45" x14ac:dyDescent="0.25">
      <c r="A1703">
        <v>10048</v>
      </c>
      <c r="B1703" s="8">
        <v>17</v>
      </c>
      <c r="C1703" s="56" t="s">
        <v>650</v>
      </c>
      <c r="D1703">
        <v>2018</v>
      </c>
      <c r="E1703" s="8">
        <v>33</v>
      </c>
      <c r="F1703" s="9">
        <v>22.96</v>
      </c>
      <c r="G1703" s="8">
        <v>4</v>
      </c>
      <c r="H1703" s="11">
        <v>12.5345</v>
      </c>
      <c r="I1703" s="9">
        <v>1.9157999999999999</v>
      </c>
      <c r="J1703" s="11" t="s">
        <v>1</v>
      </c>
      <c r="K1703" s="8">
        <v>4.3</v>
      </c>
      <c r="L1703" s="11"/>
      <c r="M1703" s="11">
        <v>87</v>
      </c>
      <c r="N1703" s="12" t="s">
        <v>15</v>
      </c>
      <c r="O1703" s="13" t="s">
        <v>1442</v>
      </c>
    </row>
    <row r="1704" spans="1:15" ht="60" x14ac:dyDescent="0.25">
      <c r="A1704">
        <v>10049</v>
      </c>
      <c r="B1704">
        <v>17</v>
      </c>
      <c r="C1704" s="56" t="s">
        <v>650</v>
      </c>
      <c r="D1704">
        <v>2018</v>
      </c>
      <c r="E1704">
        <v>59</v>
      </c>
      <c r="F1704" s="57">
        <v>12.03</v>
      </c>
      <c r="G1704">
        <v>14</v>
      </c>
      <c r="H1704" s="58">
        <v>-28.7121</v>
      </c>
      <c r="I1704" s="57">
        <v>25.228400000000001</v>
      </c>
      <c r="J1704" s="58" t="s">
        <v>1</v>
      </c>
      <c r="K1704">
        <v>4.2</v>
      </c>
      <c r="L1704" s="26"/>
      <c r="M1704" s="58">
        <v>14</v>
      </c>
      <c r="N1704" s="59" t="s">
        <v>6</v>
      </c>
      <c r="O1704" s="61" t="s">
        <v>617</v>
      </c>
    </row>
    <row r="1705" spans="1:15" ht="60" x14ac:dyDescent="0.25">
      <c r="A1705">
        <v>10050</v>
      </c>
      <c r="B1705">
        <v>17</v>
      </c>
      <c r="C1705" s="56" t="s">
        <v>650</v>
      </c>
      <c r="D1705">
        <v>2018</v>
      </c>
      <c r="E1705">
        <v>1</v>
      </c>
      <c r="F1705" s="57">
        <v>41.75</v>
      </c>
      <c r="G1705">
        <v>22</v>
      </c>
      <c r="H1705" s="58">
        <v>-20.334299999999999</v>
      </c>
      <c r="I1705" s="57">
        <v>17.4284</v>
      </c>
      <c r="J1705" s="58" t="s">
        <v>1</v>
      </c>
      <c r="K1705">
        <v>4.5</v>
      </c>
      <c r="L1705" s="26"/>
      <c r="M1705" s="58">
        <v>91</v>
      </c>
      <c r="N1705" s="59" t="s">
        <v>291</v>
      </c>
      <c r="O1705" s="61" t="s">
        <v>1443</v>
      </c>
    </row>
    <row r="1706" spans="1:15" ht="45" x14ac:dyDescent="0.25">
      <c r="A1706">
        <v>10051</v>
      </c>
      <c r="B1706">
        <v>17</v>
      </c>
      <c r="C1706" s="56" t="s">
        <v>650</v>
      </c>
      <c r="D1706">
        <v>2018</v>
      </c>
      <c r="E1706">
        <v>27</v>
      </c>
      <c r="F1706" s="57">
        <v>46.23</v>
      </c>
      <c r="G1706">
        <v>22</v>
      </c>
      <c r="H1706" s="58">
        <v>8.7896000000000001</v>
      </c>
      <c r="I1706" s="57">
        <v>9.9215</v>
      </c>
      <c r="J1706" s="58" t="s">
        <v>1</v>
      </c>
      <c r="K1706">
        <v>4</v>
      </c>
      <c r="L1706" s="26"/>
      <c r="M1706" s="58">
        <v>94</v>
      </c>
      <c r="N1706" s="59" t="s">
        <v>15</v>
      </c>
      <c r="O1706" s="61" t="s">
        <v>1444</v>
      </c>
    </row>
    <row r="1707" spans="1:15" ht="60" x14ac:dyDescent="0.25">
      <c r="A1707">
        <v>10052</v>
      </c>
      <c r="B1707">
        <v>18</v>
      </c>
      <c r="C1707" s="56" t="s">
        <v>650</v>
      </c>
      <c r="D1707">
        <v>2018</v>
      </c>
      <c r="E1707">
        <v>58</v>
      </c>
      <c r="F1707" s="57">
        <v>57.68</v>
      </c>
      <c r="G1707">
        <v>5</v>
      </c>
      <c r="H1707" s="58">
        <v>-12.937900000000001</v>
      </c>
      <c r="I1707" s="57">
        <v>44.7943</v>
      </c>
      <c r="J1707" s="58" t="s">
        <v>1</v>
      </c>
      <c r="K1707">
        <v>3.9</v>
      </c>
      <c r="L1707" s="26"/>
      <c r="M1707" s="58">
        <v>93</v>
      </c>
      <c r="N1707" s="59" t="s">
        <v>241</v>
      </c>
      <c r="O1707" s="61" t="s">
        <v>1439</v>
      </c>
    </row>
    <row r="1708" spans="1:15" ht="45" x14ac:dyDescent="0.25">
      <c r="A1708">
        <v>10053</v>
      </c>
      <c r="B1708" s="8">
        <v>18</v>
      </c>
      <c r="C1708" s="56" t="s">
        <v>650</v>
      </c>
      <c r="D1708">
        <v>2018</v>
      </c>
      <c r="E1708" s="8">
        <v>17</v>
      </c>
      <c r="F1708" s="9">
        <v>29.11</v>
      </c>
      <c r="G1708" s="8">
        <v>16</v>
      </c>
      <c r="H1708" s="11">
        <v>6.6750999999999996</v>
      </c>
      <c r="I1708" s="9">
        <v>-6.2153999999999998</v>
      </c>
      <c r="J1708" s="11" t="s">
        <v>1</v>
      </c>
      <c r="K1708" s="8">
        <v>4.2</v>
      </c>
      <c r="L1708" s="11"/>
      <c r="M1708" s="11">
        <v>178</v>
      </c>
      <c r="N1708" s="12" t="s">
        <v>15</v>
      </c>
      <c r="O1708" s="13" t="s">
        <v>1445</v>
      </c>
    </row>
    <row r="1709" spans="1:15" ht="60" x14ac:dyDescent="0.25">
      <c r="A1709">
        <v>10054</v>
      </c>
      <c r="B1709">
        <v>19</v>
      </c>
      <c r="C1709" s="56" t="s">
        <v>650</v>
      </c>
      <c r="D1709">
        <v>2018</v>
      </c>
      <c r="E1709">
        <v>9</v>
      </c>
      <c r="F1709" s="57">
        <v>45.64</v>
      </c>
      <c r="G1709">
        <v>5</v>
      </c>
      <c r="H1709" s="58">
        <v>-12.934100000000001</v>
      </c>
      <c r="I1709" s="57">
        <v>45.156199999999998</v>
      </c>
      <c r="J1709" s="58" t="s">
        <v>1</v>
      </c>
      <c r="K1709">
        <v>3.9</v>
      </c>
      <c r="L1709" s="26"/>
      <c r="M1709" s="58">
        <v>94</v>
      </c>
      <c r="N1709" s="59" t="s">
        <v>241</v>
      </c>
      <c r="O1709" s="61" t="s">
        <v>1446</v>
      </c>
    </row>
    <row r="1710" spans="1:15" ht="60" x14ac:dyDescent="0.25">
      <c r="A1710">
        <v>10055</v>
      </c>
      <c r="B1710">
        <v>19</v>
      </c>
      <c r="C1710" s="56" t="s">
        <v>650</v>
      </c>
      <c r="D1710">
        <v>2018</v>
      </c>
      <c r="E1710">
        <v>17</v>
      </c>
      <c r="F1710" s="57">
        <v>2.29</v>
      </c>
      <c r="G1710">
        <v>5</v>
      </c>
      <c r="H1710" s="58">
        <v>-12.8523</v>
      </c>
      <c r="I1710" s="57">
        <v>45.348399999999998</v>
      </c>
      <c r="J1710" s="58" t="s">
        <v>1</v>
      </c>
      <c r="K1710">
        <v>4</v>
      </c>
      <c r="L1710" s="26"/>
      <c r="M1710" s="58">
        <v>67</v>
      </c>
      <c r="N1710" s="59" t="s">
        <v>241</v>
      </c>
      <c r="O1710" s="61" t="s">
        <v>1439</v>
      </c>
    </row>
    <row r="1711" spans="1:15" ht="60" x14ac:dyDescent="0.25">
      <c r="A1711">
        <v>10056</v>
      </c>
      <c r="B1711">
        <v>19</v>
      </c>
      <c r="C1711" s="56" t="s">
        <v>650</v>
      </c>
      <c r="D1711">
        <v>2018</v>
      </c>
      <c r="E1711">
        <v>19</v>
      </c>
      <c r="F1711" s="57">
        <v>8.94</v>
      </c>
      <c r="G1711">
        <v>10</v>
      </c>
      <c r="H1711" s="58">
        <v>-29.972100000000001</v>
      </c>
      <c r="I1711" s="57">
        <v>25.743300000000001</v>
      </c>
      <c r="J1711" s="58" t="s">
        <v>1</v>
      </c>
      <c r="K1711">
        <v>4.5</v>
      </c>
      <c r="L1711" s="26"/>
      <c r="M1711" s="58">
        <v>67</v>
      </c>
      <c r="N1711" s="59" t="s">
        <v>6</v>
      </c>
      <c r="O1711" s="61" t="s">
        <v>113</v>
      </c>
    </row>
    <row r="1712" spans="1:15" ht="60" x14ac:dyDescent="0.25">
      <c r="A1712">
        <v>10057</v>
      </c>
      <c r="B1712">
        <v>19</v>
      </c>
      <c r="C1712" s="56" t="s">
        <v>650</v>
      </c>
      <c r="D1712">
        <v>2018</v>
      </c>
      <c r="E1712">
        <v>39</v>
      </c>
      <c r="F1712" s="57">
        <v>27.37</v>
      </c>
      <c r="G1712">
        <v>20</v>
      </c>
      <c r="H1712" s="58">
        <v>-13.1531</v>
      </c>
      <c r="I1712" s="57">
        <v>44.979199999999999</v>
      </c>
      <c r="J1712" s="58">
        <v>307.39999999999998</v>
      </c>
      <c r="K1712">
        <v>3.3</v>
      </c>
      <c r="L1712" s="26"/>
      <c r="M1712" s="58">
        <v>71</v>
      </c>
      <c r="N1712" s="59" t="s">
        <v>241</v>
      </c>
      <c r="O1712" s="61" t="s">
        <v>1439</v>
      </c>
    </row>
    <row r="1713" spans="1:15" ht="60" x14ac:dyDescent="0.25">
      <c r="A1713">
        <v>10058</v>
      </c>
      <c r="B1713">
        <v>19</v>
      </c>
      <c r="C1713" s="56" t="s">
        <v>650</v>
      </c>
      <c r="D1713">
        <v>2018</v>
      </c>
      <c r="E1713">
        <v>55</v>
      </c>
      <c r="F1713" s="57">
        <v>4.63</v>
      </c>
      <c r="G1713">
        <v>20</v>
      </c>
      <c r="H1713" s="58">
        <v>-13.833500000000001</v>
      </c>
      <c r="I1713" s="57">
        <v>44.149099999999997</v>
      </c>
      <c r="J1713" s="58">
        <v>646.4</v>
      </c>
      <c r="K1713">
        <v>2.8</v>
      </c>
      <c r="L1713" s="26"/>
      <c r="M1713" s="58">
        <v>54</v>
      </c>
      <c r="N1713" s="59" t="s">
        <v>241</v>
      </c>
      <c r="O1713" s="61" t="s">
        <v>1439</v>
      </c>
    </row>
    <row r="1714" spans="1:15" ht="60" x14ac:dyDescent="0.25">
      <c r="A1714">
        <v>10059</v>
      </c>
      <c r="B1714">
        <v>19</v>
      </c>
      <c r="C1714" s="56" t="s">
        <v>650</v>
      </c>
      <c r="D1714">
        <v>2018</v>
      </c>
      <c r="E1714">
        <v>59</v>
      </c>
      <c r="F1714" s="57">
        <v>59.62</v>
      </c>
      <c r="G1714">
        <v>20</v>
      </c>
      <c r="H1714" s="58">
        <v>-12.8834</v>
      </c>
      <c r="I1714" s="57">
        <v>45.6</v>
      </c>
      <c r="J1714" s="58" t="s">
        <v>1</v>
      </c>
      <c r="K1714">
        <v>4.4000000000000004</v>
      </c>
      <c r="L1714" s="26"/>
      <c r="M1714" s="58">
        <v>64</v>
      </c>
      <c r="N1714" s="59" t="s">
        <v>241</v>
      </c>
      <c r="O1714" s="61" t="s">
        <v>1439</v>
      </c>
    </row>
    <row r="1715" spans="1:15" ht="60" x14ac:dyDescent="0.25">
      <c r="A1715">
        <v>10060</v>
      </c>
      <c r="B1715">
        <v>20</v>
      </c>
      <c r="C1715" s="56" t="s">
        <v>650</v>
      </c>
      <c r="D1715">
        <v>2018</v>
      </c>
      <c r="E1715">
        <v>1</v>
      </c>
      <c r="F1715" s="57">
        <v>44.13</v>
      </c>
      <c r="G1715">
        <v>8</v>
      </c>
      <c r="H1715" s="58">
        <v>-12.581799999999999</v>
      </c>
      <c r="I1715" s="57">
        <v>45.741199999999999</v>
      </c>
      <c r="J1715" s="58">
        <v>148.69999999999999</v>
      </c>
      <c r="K1715">
        <v>4.2</v>
      </c>
      <c r="L1715" s="26"/>
      <c r="M1715" s="58">
        <v>82</v>
      </c>
      <c r="N1715" s="59" t="s">
        <v>241</v>
      </c>
      <c r="O1715" s="61" t="s">
        <v>1439</v>
      </c>
    </row>
    <row r="1716" spans="1:15" ht="60" x14ac:dyDescent="0.25">
      <c r="A1716">
        <v>10061</v>
      </c>
      <c r="B1716">
        <v>20</v>
      </c>
      <c r="C1716" s="56" t="s">
        <v>650</v>
      </c>
      <c r="D1716">
        <v>2018</v>
      </c>
      <c r="E1716">
        <v>3</v>
      </c>
      <c r="F1716" s="57">
        <v>36.29</v>
      </c>
      <c r="G1716">
        <v>8</v>
      </c>
      <c r="H1716" s="58">
        <v>-12.3475</v>
      </c>
      <c r="I1716" s="57">
        <v>45.321599999999997</v>
      </c>
      <c r="J1716" s="58">
        <v>140.6</v>
      </c>
      <c r="K1716">
        <v>4</v>
      </c>
      <c r="L1716" s="26"/>
      <c r="M1716" s="58">
        <v>49</v>
      </c>
      <c r="N1716" s="59" t="s">
        <v>241</v>
      </c>
      <c r="O1716" s="61" t="s">
        <v>1439</v>
      </c>
    </row>
    <row r="1717" spans="1:15" x14ac:dyDescent="0.25">
      <c r="A1717">
        <v>10062</v>
      </c>
      <c r="B1717">
        <v>21</v>
      </c>
      <c r="C1717" s="56" t="s">
        <v>650</v>
      </c>
      <c r="D1717">
        <v>2018</v>
      </c>
      <c r="E1717">
        <v>18</v>
      </c>
      <c r="F1717" s="57">
        <v>35.200000000000003</v>
      </c>
      <c r="G1717">
        <v>0</v>
      </c>
      <c r="H1717" s="58">
        <v>34.399799999999999</v>
      </c>
      <c r="I1717" s="57">
        <v>9.6593</v>
      </c>
      <c r="J1717" s="58" t="s">
        <v>1</v>
      </c>
      <c r="K1717">
        <v>4.5999999999999996</v>
      </c>
      <c r="L1717" s="26">
        <v>3.9</v>
      </c>
      <c r="M1717" s="58">
        <v>134</v>
      </c>
      <c r="N1717" s="59" t="s">
        <v>2</v>
      </c>
      <c r="O1717" s="107" t="s">
        <v>1447</v>
      </c>
    </row>
    <row r="1718" spans="1:15" x14ac:dyDescent="0.25">
      <c r="A1718">
        <v>10063</v>
      </c>
      <c r="B1718">
        <v>21</v>
      </c>
      <c r="C1718" s="56" t="s">
        <v>650</v>
      </c>
      <c r="D1718">
        <v>2018</v>
      </c>
      <c r="E1718">
        <v>30</v>
      </c>
      <c r="F1718" s="57">
        <v>30.24</v>
      </c>
      <c r="G1718">
        <v>12</v>
      </c>
      <c r="H1718" s="58">
        <v>-1.0792999999999999</v>
      </c>
      <c r="I1718" s="57">
        <v>39.189900000000002</v>
      </c>
      <c r="J1718" s="58" t="s">
        <v>1</v>
      </c>
      <c r="K1718">
        <v>4.0999999999999996</v>
      </c>
      <c r="L1718" s="26"/>
      <c r="M1718" s="58">
        <v>173</v>
      </c>
      <c r="N1718" s="59" t="s">
        <v>13</v>
      </c>
      <c r="O1718" s="107" t="s">
        <v>1448</v>
      </c>
    </row>
    <row r="1719" spans="1:15" ht="30" x14ac:dyDescent="0.25">
      <c r="A1719">
        <v>10064</v>
      </c>
      <c r="B1719">
        <v>22</v>
      </c>
      <c r="C1719" s="56" t="s">
        <v>650</v>
      </c>
      <c r="D1719">
        <v>2018</v>
      </c>
      <c r="E1719">
        <v>46</v>
      </c>
      <c r="F1719" s="57">
        <v>43.54</v>
      </c>
      <c r="G1719">
        <v>4</v>
      </c>
      <c r="H1719" s="58">
        <v>-11.747999999999999</v>
      </c>
      <c r="I1719" s="57">
        <v>40.4848</v>
      </c>
      <c r="J1719" s="58" t="s">
        <v>1</v>
      </c>
      <c r="K1719">
        <v>3.9</v>
      </c>
      <c r="L1719" s="26"/>
      <c r="M1719" s="58">
        <v>84</v>
      </c>
      <c r="N1719" s="59" t="s">
        <v>26</v>
      </c>
      <c r="O1719" s="107" t="s">
        <v>284</v>
      </c>
    </row>
    <row r="1720" spans="1:15" ht="60" x14ac:dyDescent="0.25">
      <c r="A1720">
        <v>10065</v>
      </c>
      <c r="B1720">
        <v>22</v>
      </c>
      <c r="C1720" s="56" t="s">
        <v>650</v>
      </c>
      <c r="D1720">
        <v>2018</v>
      </c>
      <c r="E1720">
        <v>43</v>
      </c>
      <c r="F1720" s="57">
        <v>45.3</v>
      </c>
      <c r="G1720">
        <v>11</v>
      </c>
      <c r="H1720" s="58">
        <v>-28.8748</v>
      </c>
      <c r="I1720" s="57">
        <v>22.2621</v>
      </c>
      <c r="J1720" s="58" t="s">
        <v>1</v>
      </c>
      <c r="K1720">
        <v>4.0999999999999996</v>
      </c>
      <c r="L1720" s="26">
        <v>2</v>
      </c>
      <c r="M1720" s="58">
        <v>165</v>
      </c>
      <c r="N1720" s="59" t="s">
        <v>6</v>
      </c>
      <c r="O1720" s="107" t="s">
        <v>1449</v>
      </c>
    </row>
    <row r="1721" spans="1:15" ht="60" x14ac:dyDescent="0.25">
      <c r="A1721">
        <v>10066</v>
      </c>
      <c r="B1721">
        <v>22</v>
      </c>
      <c r="C1721" s="56" t="s">
        <v>650</v>
      </c>
      <c r="D1721">
        <v>2018</v>
      </c>
      <c r="E1721">
        <v>50</v>
      </c>
      <c r="F1721" s="57">
        <v>21.33</v>
      </c>
      <c r="G1721">
        <v>12</v>
      </c>
      <c r="H1721" s="58">
        <v>-26.0566</v>
      </c>
      <c r="I1721" s="57">
        <v>26.9406</v>
      </c>
      <c r="J1721" s="58" t="s">
        <v>1</v>
      </c>
      <c r="K1721">
        <v>3.9</v>
      </c>
      <c r="L1721" s="26"/>
      <c r="M1721" s="58">
        <v>115</v>
      </c>
      <c r="N1721" s="59" t="s">
        <v>6</v>
      </c>
      <c r="O1721" s="107" t="s">
        <v>1327</v>
      </c>
    </row>
    <row r="1722" spans="1:15" ht="45" x14ac:dyDescent="0.25">
      <c r="A1722">
        <v>10067</v>
      </c>
      <c r="B1722" s="8">
        <v>22</v>
      </c>
      <c r="C1722" s="56" t="s">
        <v>650</v>
      </c>
      <c r="D1722">
        <v>2018</v>
      </c>
      <c r="E1722" s="8">
        <v>27</v>
      </c>
      <c r="F1722" s="9">
        <v>28.16</v>
      </c>
      <c r="G1722" s="8">
        <v>20</v>
      </c>
      <c r="H1722" s="11">
        <v>12.133800000000001</v>
      </c>
      <c r="I1722" s="9">
        <v>0.6784</v>
      </c>
      <c r="J1722" s="11" t="s">
        <v>1</v>
      </c>
      <c r="K1722" s="8">
        <v>4.4000000000000004</v>
      </c>
      <c r="L1722" s="11"/>
      <c r="M1722" s="11">
        <v>137</v>
      </c>
      <c r="N1722" s="12" t="s">
        <v>15</v>
      </c>
      <c r="O1722" s="108" t="s">
        <v>109</v>
      </c>
    </row>
    <row r="1723" spans="1:15" x14ac:dyDescent="0.25">
      <c r="A1723">
        <v>10068</v>
      </c>
      <c r="B1723">
        <v>23</v>
      </c>
      <c r="C1723" s="56" t="s">
        <v>650</v>
      </c>
      <c r="D1723">
        <v>2018</v>
      </c>
      <c r="E1723">
        <v>51</v>
      </c>
      <c r="F1723" s="57">
        <v>10.47</v>
      </c>
      <c r="G1723">
        <v>0</v>
      </c>
      <c r="H1723" s="58">
        <v>26.728999999999999</v>
      </c>
      <c r="I1723" s="57">
        <v>28.1388</v>
      </c>
      <c r="J1723" s="58" t="s">
        <v>1</v>
      </c>
      <c r="K1723">
        <v>4.4000000000000004</v>
      </c>
      <c r="L1723" s="26"/>
      <c r="M1723" s="58">
        <v>156</v>
      </c>
      <c r="N1723" s="59" t="s">
        <v>72</v>
      </c>
      <c r="O1723" s="107" t="s">
        <v>1450</v>
      </c>
    </row>
    <row r="1724" spans="1:15" ht="45" x14ac:dyDescent="0.25">
      <c r="A1724">
        <v>10069</v>
      </c>
      <c r="B1724" s="8">
        <v>23</v>
      </c>
      <c r="C1724" s="56" t="s">
        <v>650</v>
      </c>
      <c r="D1724">
        <v>2018</v>
      </c>
      <c r="E1724" s="8">
        <v>4</v>
      </c>
      <c r="F1724" s="9">
        <v>18.02</v>
      </c>
      <c r="G1724" s="8">
        <v>2</v>
      </c>
      <c r="H1724" s="11">
        <v>19.4221</v>
      </c>
      <c r="I1724" s="9">
        <v>-5.1090999999999998</v>
      </c>
      <c r="J1724" s="11" t="s">
        <v>1</v>
      </c>
      <c r="K1724" s="8">
        <v>2.9</v>
      </c>
      <c r="L1724" s="11"/>
      <c r="M1724" s="11">
        <v>65</v>
      </c>
      <c r="N1724" s="12" t="s">
        <v>663</v>
      </c>
      <c r="O1724" s="108" t="s">
        <v>1451</v>
      </c>
    </row>
    <row r="1725" spans="1:15" x14ac:dyDescent="0.25">
      <c r="A1725">
        <v>10070</v>
      </c>
      <c r="B1725">
        <v>23</v>
      </c>
      <c r="C1725" s="56" t="s">
        <v>650</v>
      </c>
      <c r="D1725">
        <v>2018</v>
      </c>
      <c r="E1725">
        <v>13</v>
      </c>
      <c r="F1725" s="57">
        <v>16.88</v>
      </c>
      <c r="G1725">
        <v>4</v>
      </c>
      <c r="H1725" s="58">
        <v>34.867600000000003</v>
      </c>
      <c r="I1725" s="57">
        <v>8.2232000000000003</v>
      </c>
      <c r="J1725" s="58" t="s">
        <v>1</v>
      </c>
      <c r="K1725">
        <v>3</v>
      </c>
      <c r="L1725" s="26"/>
      <c r="M1725" s="58">
        <v>143</v>
      </c>
      <c r="N1725" s="59" t="s">
        <v>777</v>
      </c>
      <c r="O1725" s="107" t="s">
        <v>1452</v>
      </c>
    </row>
    <row r="1726" spans="1:15" ht="45" x14ac:dyDescent="0.25">
      <c r="A1726">
        <v>10071</v>
      </c>
      <c r="B1726" s="8">
        <v>23</v>
      </c>
      <c r="C1726" s="56" t="s">
        <v>650</v>
      </c>
      <c r="D1726">
        <v>2018</v>
      </c>
      <c r="E1726" s="8">
        <v>43</v>
      </c>
      <c r="F1726" s="9">
        <v>24.62</v>
      </c>
      <c r="G1726" s="8">
        <v>10</v>
      </c>
      <c r="H1726" s="11">
        <v>6.0418000000000003</v>
      </c>
      <c r="I1726" s="9">
        <v>-6.1318000000000001</v>
      </c>
      <c r="J1726" s="11" t="s">
        <v>1</v>
      </c>
      <c r="K1726" s="8">
        <v>3.7</v>
      </c>
      <c r="L1726" s="11"/>
      <c r="M1726" s="11">
        <v>156</v>
      </c>
      <c r="N1726" s="12" t="s">
        <v>15</v>
      </c>
      <c r="O1726" s="108" t="s">
        <v>1453</v>
      </c>
    </row>
    <row r="1727" spans="1:15" x14ac:dyDescent="0.25">
      <c r="A1727">
        <v>10072</v>
      </c>
      <c r="B1727">
        <v>24</v>
      </c>
      <c r="C1727" s="56" t="s">
        <v>650</v>
      </c>
      <c r="D1727">
        <v>2018</v>
      </c>
      <c r="E1727">
        <v>8</v>
      </c>
      <c r="F1727" s="57">
        <v>12.02</v>
      </c>
      <c r="G1727">
        <v>7</v>
      </c>
      <c r="H1727" s="58">
        <v>-19.829999999999998</v>
      </c>
      <c r="I1727" s="57">
        <v>14.289099999999999</v>
      </c>
      <c r="J1727" s="58" t="s">
        <v>1</v>
      </c>
      <c r="K1727">
        <v>4.5999999999999996</v>
      </c>
      <c r="L1727" s="26">
        <v>4.5</v>
      </c>
      <c r="M1727" s="58">
        <v>102</v>
      </c>
      <c r="N1727" s="59" t="s">
        <v>291</v>
      </c>
      <c r="O1727" s="107" t="s">
        <v>1454</v>
      </c>
    </row>
    <row r="1728" spans="1:15" x14ac:dyDescent="0.25">
      <c r="A1728">
        <v>10073</v>
      </c>
      <c r="B1728">
        <v>24</v>
      </c>
      <c r="C1728" s="56" t="s">
        <v>650</v>
      </c>
      <c r="D1728">
        <v>2018</v>
      </c>
      <c r="E1728">
        <v>17</v>
      </c>
      <c r="F1728" s="57">
        <v>37.74</v>
      </c>
      <c r="G1728">
        <v>9</v>
      </c>
      <c r="H1728" s="58">
        <v>29.401599999999998</v>
      </c>
      <c r="I1728" s="57">
        <v>3.4849999999999999</v>
      </c>
      <c r="J1728" s="58" t="s">
        <v>1</v>
      </c>
      <c r="K1728">
        <v>3.7</v>
      </c>
      <c r="L1728" s="26"/>
      <c r="M1728" s="58">
        <v>156</v>
      </c>
      <c r="N1728" s="59" t="s">
        <v>777</v>
      </c>
      <c r="O1728" s="107" t="s">
        <v>873</v>
      </c>
    </row>
    <row r="1729" spans="1:15" x14ac:dyDescent="0.25">
      <c r="A1729">
        <v>10074</v>
      </c>
      <c r="B1729">
        <v>24</v>
      </c>
      <c r="C1729" s="56" t="s">
        <v>650</v>
      </c>
      <c r="D1729">
        <v>2018</v>
      </c>
      <c r="E1729">
        <v>5</v>
      </c>
      <c r="F1729" s="57">
        <v>11.91</v>
      </c>
      <c r="G1729">
        <v>12</v>
      </c>
      <c r="H1729" s="58">
        <v>-19.508900000000001</v>
      </c>
      <c r="I1729" s="57">
        <v>14.596299999999999</v>
      </c>
      <c r="J1729" s="58" t="s">
        <v>1</v>
      </c>
      <c r="K1729">
        <v>3.4</v>
      </c>
      <c r="L1729" s="26"/>
      <c r="M1729" s="58">
        <v>69</v>
      </c>
      <c r="N1729" s="59" t="s">
        <v>291</v>
      </c>
      <c r="O1729" s="107" t="s">
        <v>1454</v>
      </c>
    </row>
    <row r="1730" spans="1:15" ht="60" x14ac:dyDescent="0.25">
      <c r="A1730">
        <v>10075</v>
      </c>
      <c r="B1730">
        <v>24</v>
      </c>
      <c r="C1730" s="56" t="s">
        <v>650</v>
      </c>
      <c r="D1730">
        <v>2018</v>
      </c>
      <c r="E1730">
        <v>51</v>
      </c>
      <c r="F1730" s="57">
        <v>13.48</v>
      </c>
      <c r="G1730">
        <v>13</v>
      </c>
      <c r="H1730" s="58">
        <v>-26.0732</v>
      </c>
      <c r="I1730" s="57">
        <v>28.1464</v>
      </c>
      <c r="J1730" s="58" t="s">
        <v>1</v>
      </c>
      <c r="K1730">
        <v>3.8</v>
      </c>
      <c r="L1730" s="26">
        <v>3.4</v>
      </c>
      <c r="M1730" s="58">
        <v>148</v>
      </c>
      <c r="N1730" s="59" t="s">
        <v>6</v>
      </c>
      <c r="O1730" s="107" t="s">
        <v>1455</v>
      </c>
    </row>
    <row r="1731" spans="1:15" x14ac:dyDescent="0.25">
      <c r="A1731">
        <v>10076</v>
      </c>
      <c r="B1731">
        <v>24</v>
      </c>
      <c r="C1731" s="56" t="s">
        <v>650</v>
      </c>
      <c r="D1731">
        <v>2018</v>
      </c>
      <c r="E1731">
        <v>40</v>
      </c>
      <c r="F1731" s="57">
        <v>28.16</v>
      </c>
      <c r="G1731">
        <v>21</v>
      </c>
      <c r="H1731" s="58">
        <v>29.6557</v>
      </c>
      <c r="I1731" s="57">
        <v>22.8035</v>
      </c>
      <c r="J1731" s="58" t="s">
        <v>1</v>
      </c>
      <c r="K1731">
        <v>3.8</v>
      </c>
      <c r="L1731" s="26">
        <v>3.2</v>
      </c>
      <c r="M1731" s="58">
        <v>93</v>
      </c>
      <c r="N1731" s="59" t="s">
        <v>48</v>
      </c>
      <c r="O1731" s="107" t="s">
        <v>1344</v>
      </c>
    </row>
    <row r="1732" spans="1:15" ht="45" x14ac:dyDescent="0.25">
      <c r="A1732">
        <v>10077</v>
      </c>
      <c r="B1732" s="8">
        <v>25</v>
      </c>
      <c r="C1732" s="56" t="s">
        <v>650</v>
      </c>
      <c r="D1732">
        <v>2018</v>
      </c>
      <c r="E1732" s="8">
        <v>20</v>
      </c>
      <c r="F1732" s="9">
        <v>35.33</v>
      </c>
      <c r="G1732" s="8">
        <v>0</v>
      </c>
      <c r="H1732" s="11">
        <v>6.3070000000000004</v>
      </c>
      <c r="I1732" s="9">
        <v>-6.6677</v>
      </c>
      <c r="J1732" s="11" t="s">
        <v>1</v>
      </c>
      <c r="K1732" s="8">
        <v>3.6</v>
      </c>
      <c r="L1732" s="11"/>
      <c r="M1732" s="11">
        <v>178</v>
      </c>
      <c r="N1732" s="12" t="s">
        <v>15</v>
      </c>
      <c r="O1732" s="108" t="s">
        <v>1456</v>
      </c>
    </row>
    <row r="1733" spans="1:15" x14ac:dyDescent="0.25">
      <c r="A1733">
        <v>10078</v>
      </c>
      <c r="B1733">
        <v>25</v>
      </c>
      <c r="C1733" s="56" t="s">
        <v>650</v>
      </c>
      <c r="D1733">
        <v>2018</v>
      </c>
      <c r="E1733">
        <v>58</v>
      </c>
      <c r="F1733" s="57">
        <v>42.55</v>
      </c>
      <c r="G1733">
        <v>14</v>
      </c>
      <c r="H1733" s="58">
        <v>-19.89</v>
      </c>
      <c r="I1733" s="57">
        <v>14.3932</v>
      </c>
      <c r="J1733" s="58" t="s">
        <v>1</v>
      </c>
      <c r="K1733">
        <v>4.2</v>
      </c>
      <c r="L1733" s="26">
        <v>4.3</v>
      </c>
      <c r="M1733" s="58">
        <v>83</v>
      </c>
      <c r="N1733" s="59" t="s">
        <v>291</v>
      </c>
      <c r="O1733" s="107" t="s">
        <v>1454</v>
      </c>
    </row>
    <row r="1734" spans="1:15" x14ac:dyDescent="0.25">
      <c r="A1734">
        <v>10079</v>
      </c>
      <c r="B1734">
        <v>25</v>
      </c>
      <c r="C1734" s="56" t="s">
        <v>650</v>
      </c>
      <c r="D1734">
        <v>2018</v>
      </c>
      <c r="E1734">
        <v>41</v>
      </c>
      <c r="F1734" s="57">
        <v>17.75</v>
      </c>
      <c r="G1734">
        <v>22</v>
      </c>
      <c r="H1734" s="58">
        <v>29.678100000000001</v>
      </c>
      <c r="I1734" s="57">
        <v>2.0261999999999998</v>
      </c>
      <c r="J1734" s="58" t="s">
        <v>1</v>
      </c>
      <c r="K1734">
        <v>4</v>
      </c>
      <c r="L1734" s="26">
        <v>2.6</v>
      </c>
      <c r="M1734" s="58">
        <v>77</v>
      </c>
      <c r="N1734" s="59" t="s">
        <v>777</v>
      </c>
      <c r="O1734" s="107" t="s">
        <v>1457</v>
      </c>
    </row>
    <row r="1735" spans="1:15" x14ac:dyDescent="0.25">
      <c r="A1735">
        <v>10080</v>
      </c>
      <c r="B1735">
        <v>26</v>
      </c>
      <c r="C1735" s="56" t="s">
        <v>650</v>
      </c>
      <c r="D1735">
        <v>2018</v>
      </c>
      <c r="E1735">
        <v>46</v>
      </c>
      <c r="F1735" s="57">
        <v>38.07</v>
      </c>
      <c r="G1735">
        <v>9</v>
      </c>
      <c r="H1735" s="58">
        <v>29.6309</v>
      </c>
      <c r="I1735" s="57">
        <v>-1.9564999999999999</v>
      </c>
      <c r="J1735" s="58" t="s">
        <v>1</v>
      </c>
      <c r="K1735">
        <v>4.2</v>
      </c>
      <c r="L1735" s="26"/>
      <c r="M1735" s="58">
        <v>111</v>
      </c>
      <c r="N1735" s="59" t="s">
        <v>777</v>
      </c>
      <c r="O1735" s="107" t="s">
        <v>1458</v>
      </c>
    </row>
    <row r="1736" spans="1:15" ht="60" x14ac:dyDescent="0.25">
      <c r="A1736">
        <v>10081</v>
      </c>
      <c r="B1736">
        <v>26</v>
      </c>
      <c r="C1736" s="56" t="s">
        <v>650</v>
      </c>
      <c r="D1736">
        <v>2018</v>
      </c>
      <c r="E1736">
        <v>31</v>
      </c>
      <c r="F1736" s="57">
        <v>30.22</v>
      </c>
      <c r="G1736">
        <v>14</v>
      </c>
      <c r="H1736" s="58">
        <v>-25.944900000000001</v>
      </c>
      <c r="I1736" s="57">
        <v>30.5807</v>
      </c>
      <c r="J1736" s="58" t="s">
        <v>1</v>
      </c>
      <c r="K1736">
        <v>4</v>
      </c>
      <c r="L1736" s="26">
        <v>3.6</v>
      </c>
      <c r="M1736" s="58">
        <v>134</v>
      </c>
      <c r="N1736" s="59" t="s">
        <v>6</v>
      </c>
      <c r="O1736" s="109" t="s">
        <v>1459</v>
      </c>
    </row>
    <row r="1737" spans="1:15" ht="60" x14ac:dyDescent="0.25">
      <c r="A1737">
        <v>10082</v>
      </c>
      <c r="B1737">
        <v>26</v>
      </c>
      <c r="C1737" s="56" t="s">
        <v>650</v>
      </c>
      <c r="D1737">
        <v>2018</v>
      </c>
      <c r="E1737">
        <v>55</v>
      </c>
      <c r="F1737" s="57">
        <v>39.590000000000003</v>
      </c>
      <c r="G1737">
        <v>18</v>
      </c>
      <c r="H1737" s="58">
        <v>-28.6175</v>
      </c>
      <c r="I1737" s="57">
        <v>25.2547</v>
      </c>
      <c r="J1737" s="58" t="s">
        <v>1</v>
      </c>
      <c r="L1737" s="26"/>
      <c r="M1737" s="58">
        <v>10</v>
      </c>
      <c r="N1737" s="59" t="s">
        <v>6</v>
      </c>
      <c r="O1737" s="107" t="s">
        <v>789</v>
      </c>
    </row>
    <row r="1738" spans="1:15" ht="30" x14ac:dyDescent="0.25">
      <c r="A1738">
        <v>10083</v>
      </c>
      <c r="B1738">
        <v>27</v>
      </c>
      <c r="C1738" s="56" t="s">
        <v>650</v>
      </c>
      <c r="D1738">
        <v>2018</v>
      </c>
      <c r="E1738">
        <v>51</v>
      </c>
      <c r="F1738" s="57">
        <v>3.77</v>
      </c>
      <c r="G1738">
        <v>7</v>
      </c>
      <c r="H1738" s="58">
        <v>9.3613999999999997</v>
      </c>
      <c r="I1738" s="57">
        <v>43.189</v>
      </c>
      <c r="J1738" s="58" t="s">
        <v>1</v>
      </c>
      <c r="K1738">
        <v>4.0999999999999996</v>
      </c>
      <c r="L1738" s="26"/>
      <c r="M1738" s="58">
        <v>114</v>
      </c>
      <c r="N1738" s="59" t="s">
        <v>57</v>
      </c>
      <c r="O1738" s="107" t="s">
        <v>1460</v>
      </c>
    </row>
    <row r="1739" spans="1:15" ht="60" x14ac:dyDescent="0.25">
      <c r="A1739">
        <v>10084</v>
      </c>
      <c r="B1739">
        <v>28</v>
      </c>
      <c r="C1739" s="56" t="s">
        <v>650</v>
      </c>
      <c r="D1739">
        <v>2018</v>
      </c>
      <c r="E1739">
        <v>14</v>
      </c>
      <c r="F1739" s="57">
        <v>49.92</v>
      </c>
      <c r="G1739">
        <v>6</v>
      </c>
      <c r="H1739" s="58">
        <v>-29.6004</v>
      </c>
      <c r="I1739" s="57">
        <v>26.143799999999999</v>
      </c>
      <c r="J1739" s="58" t="s">
        <v>1</v>
      </c>
      <c r="K1739">
        <v>4</v>
      </c>
      <c r="L1739" s="26"/>
      <c r="M1739" s="58">
        <v>54</v>
      </c>
      <c r="N1739" s="59" t="s">
        <v>6</v>
      </c>
      <c r="O1739" s="107" t="s">
        <v>783</v>
      </c>
    </row>
    <row r="1740" spans="1:15" x14ac:dyDescent="0.25">
      <c r="A1740">
        <v>10085</v>
      </c>
      <c r="B1740">
        <v>29</v>
      </c>
      <c r="C1740" s="56" t="s">
        <v>650</v>
      </c>
      <c r="D1740">
        <v>2018</v>
      </c>
      <c r="E1740">
        <v>23</v>
      </c>
      <c r="F1740" s="57">
        <v>32.270000000000003</v>
      </c>
      <c r="G1740">
        <v>22</v>
      </c>
      <c r="H1740" s="58">
        <v>-1.1265000000000001</v>
      </c>
      <c r="I1740" s="57">
        <v>37.2776</v>
      </c>
      <c r="J1740" s="58" t="s">
        <v>1</v>
      </c>
      <c r="K1740">
        <v>4.4000000000000004</v>
      </c>
      <c r="L1740" s="26"/>
      <c r="M1740" s="58">
        <v>89</v>
      </c>
      <c r="N1740" s="59" t="s">
        <v>13</v>
      </c>
      <c r="O1740" s="107" t="s">
        <v>858</v>
      </c>
    </row>
    <row r="1741" spans="1:15" x14ac:dyDescent="0.25">
      <c r="A1741">
        <v>10086</v>
      </c>
      <c r="B1741">
        <v>30</v>
      </c>
      <c r="C1741" s="56" t="s">
        <v>650</v>
      </c>
      <c r="D1741">
        <v>2018</v>
      </c>
      <c r="E1741">
        <v>52</v>
      </c>
      <c r="F1741" s="57">
        <v>38.979999999999997</v>
      </c>
      <c r="G1741">
        <v>8</v>
      </c>
      <c r="H1741" s="58">
        <v>35.517699999999998</v>
      </c>
      <c r="I1741" s="57">
        <v>8.4581999999999997</v>
      </c>
      <c r="J1741" s="58" t="s">
        <v>1</v>
      </c>
      <c r="K1741">
        <v>3.1</v>
      </c>
      <c r="L1741" s="26"/>
      <c r="M1741" s="58">
        <v>164</v>
      </c>
      <c r="N1741" s="59" t="s">
        <v>2</v>
      </c>
      <c r="O1741" s="107" t="s">
        <v>1461</v>
      </c>
    </row>
    <row r="1742" spans="1:15" ht="60" x14ac:dyDescent="0.25">
      <c r="A1742">
        <v>10087</v>
      </c>
      <c r="B1742">
        <v>30</v>
      </c>
      <c r="C1742" s="56" t="s">
        <v>650</v>
      </c>
      <c r="D1742">
        <v>2018</v>
      </c>
      <c r="E1742">
        <v>5</v>
      </c>
      <c r="F1742" s="57">
        <v>32.229999999999997</v>
      </c>
      <c r="G1742">
        <v>15</v>
      </c>
      <c r="H1742" s="58">
        <v>-28.071400000000001</v>
      </c>
      <c r="I1742" s="57">
        <v>26.072299999999998</v>
      </c>
      <c r="J1742" s="58" t="s">
        <v>1</v>
      </c>
      <c r="K1742">
        <v>4.0999999999999996</v>
      </c>
      <c r="L1742" s="26"/>
      <c r="M1742" s="58">
        <v>132</v>
      </c>
      <c r="N1742" s="59" t="s">
        <v>6</v>
      </c>
      <c r="O1742" s="107" t="s">
        <v>867</v>
      </c>
    </row>
    <row r="1743" spans="1:15" x14ac:dyDescent="0.25">
      <c r="A1743">
        <v>10088</v>
      </c>
      <c r="B1743">
        <v>31</v>
      </c>
      <c r="C1743" s="56" t="s">
        <v>650</v>
      </c>
      <c r="D1743">
        <v>2018</v>
      </c>
      <c r="E1743">
        <v>14</v>
      </c>
      <c r="F1743" s="57">
        <v>33.93</v>
      </c>
      <c r="G1743">
        <v>3</v>
      </c>
      <c r="H1743" s="58">
        <v>35.786000000000001</v>
      </c>
      <c r="I1743" s="57">
        <v>8.4527999999999999</v>
      </c>
      <c r="J1743" s="58" t="s">
        <v>1</v>
      </c>
      <c r="K1743">
        <v>4.0999999999999996</v>
      </c>
      <c r="L1743" s="26"/>
      <c r="M1743" s="58">
        <v>41</v>
      </c>
      <c r="N1743" s="59" t="s">
        <v>2</v>
      </c>
      <c r="O1743" s="107" t="s">
        <v>1462</v>
      </c>
    </row>
    <row r="1744" spans="1:15" ht="60" x14ac:dyDescent="0.25">
      <c r="A1744">
        <v>10089</v>
      </c>
      <c r="B1744">
        <v>31</v>
      </c>
      <c r="C1744" s="56" t="s">
        <v>650</v>
      </c>
      <c r="D1744">
        <v>2018</v>
      </c>
      <c r="E1744">
        <v>49</v>
      </c>
      <c r="F1744" s="57">
        <v>4.9800000000000004</v>
      </c>
      <c r="G1744">
        <v>14</v>
      </c>
      <c r="H1744" s="58">
        <v>-28.100300000000001</v>
      </c>
      <c r="I1744" s="57">
        <v>25.9587</v>
      </c>
      <c r="J1744" s="58" t="s">
        <v>1</v>
      </c>
      <c r="K1744">
        <v>4.2</v>
      </c>
      <c r="L1744" s="26"/>
      <c r="M1744" s="58">
        <v>103</v>
      </c>
      <c r="N1744" s="59" t="s">
        <v>6</v>
      </c>
      <c r="O1744" s="107" t="s">
        <v>867</v>
      </c>
    </row>
    <row r="1745" spans="1:15" ht="60" x14ac:dyDescent="0.25">
      <c r="A1745">
        <v>10090</v>
      </c>
      <c r="B1745">
        <v>31</v>
      </c>
      <c r="C1745" s="56" t="s">
        <v>650</v>
      </c>
      <c r="D1745">
        <v>2018</v>
      </c>
      <c r="E1745">
        <v>0</v>
      </c>
      <c r="F1745" s="57">
        <v>24.28</v>
      </c>
      <c r="G1745">
        <v>16</v>
      </c>
      <c r="H1745" s="58">
        <v>-27.353200000000001</v>
      </c>
      <c r="I1745" s="57">
        <v>26.1037</v>
      </c>
      <c r="J1745" s="58" t="s">
        <v>1</v>
      </c>
      <c r="K1745">
        <v>3.9</v>
      </c>
      <c r="L1745" s="26"/>
      <c r="M1745" s="58">
        <v>125</v>
      </c>
      <c r="N1745" s="59" t="s">
        <v>6</v>
      </c>
      <c r="O1745" s="107" t="s">
        <v>1463</v>
      </c>
    </row>
    <row r="1746" spans="1:15" ht="60" x14ac:dyDescent="0.25">
      <c r="A1746">
        <v>10091</v>
      </c>
      <c r="B1746">
        <v>1</v>
      </c>
      <c r="C1746" s="56" t="s">
        <v>0</v>
      </c>
      <c r="D1746">
        <v>2018</v>
      </c>
      <c r="E1746">
        <v>24</v>
      </c>
      <c r="F1746" s="57">
        <v>27.91</v>
      </c>
      <c r="G1746">
        <v>3</v>
      </c>
      <c r="H1746" s="58">
        <v>-12.7659</v>
      </c>
      <c r="I1746" s="57">
        <v>45.647599999999997</v>
      </c>
      <c r="J1746" s="58">
        <v>138.5</v>
      </c>
      <c r="K1746">
        <v>3.7</v>
      </c>
      <c r="L1746" s="26"/>
      <c r="M1746" s="58">
        <v>84</v>
      </c>
      <c r="N1746" s="59" t="s">
        <v>241</v>
      </c>
      <c r="O1746" s="61" t="s">
        <v>1464</v>
      </c>
    </row>
    <row r="1747" spans="1:15" ht="45" x14ac:dyDescent="0.25">
      <c r="A1747">
        <v>10092</v>
      </c>
      <c r="B1747">
        <v>1</v>
      </c>
      <c r="C1747" s="56" t="s">
        <v>0</v>
      </c>
      <c r="D1747">
        <v>2018</v>
      </c>
      <c r="E1747">
        <v>29</v>
      </c>
      <c r="F1747" s="57">
        <v>38.520000000000003</v>
      </c>
      <c r="G1747">
        <v>3</v>
      </c>
      <c r="H1747" s="58">
        <v>-29.324400000000001</v>
      </c>
      <c r="I1747" s="57">
        <v>48.244599999999998</v>
      </c>
      <c r="J1747" s="58" t="s">
        <v>1</v>
      </c>
      <c r="K1747">
        <v>3.8</v>
      </c>
      <c r="L1747" s="26"/>
      <c r="M1747" s="58">
        <v>5</v>
      </c>
      <c r="N1747" s="59" t="s">
        <v>829</v>
      </c>
      <c r="O1747" s="61" t="s">
        <v>5</v>
      </c>
    </row>
    <row r="1748" spans="1:15" ht="60" x14ac:dyDescent="0.25">
      <c r="A1748">
        <v>10093</v>
      </c>
      <c r="B1748">
        <v>1</v>
      </c>
      <c r="C1748" s="56" t="s">
        <v>0</v>
      </c>
      <c r="D1748">
        <v>2018</v>
      </c>
      <c r="E1748">
        <v>35</v>
      </c>
      <c r="F1748" s="57">
        <v>51.77</v>
      </c>
      <c r="G1748">
        <v>3</v>
      </c>
      <c r="H1748" s="58">
        <v>-12.798400000000001</v>
      </c>
      <c r="I1748" s="57">
        <v>45.311700000000002</v>
      </c>
      <c r="J1748" s="58" t="s">
        <v>1</v>
      </c>
      <c r="K1748">
        <v>4.2</v>
      </c>
      <c r="L1748" s="26"/>
      <c r="M1748" s="58">
        <v>45</v>
      </c>
      <c r="N1748" s="59" t="s">
        <v>241</v>
      </c>
      <c r="O1748" s="61" t="s">
        <v>1465</v>
      </c>
    </row>
    <row r="1749" spans="1:15" ht="45" x14ac:dyDescent="0.25">
      <c r="A1749">
        <v>10094</v>
      </c>
      <c r="B1749">
        <v>1</v>
      </c>
      <c r="C1749" s="56" t="s">
        <v>0</v>
      </c>
      <c r="D1749">
        <v>2018</v>
      </c>
      <c r="E1749">
        <v>10</v>
      </c>
      <c r="F1749" s="57">
        <v>7.99</v>
      </c>
      <c r="G1749">
        <v>5</v>
      </c>
      <c r="H1749" s="58">
        <v>26.1996</v>
      </c>
      <c r="I1749" s="57">
        <v>1.3543000000000001</v>
      </c>
      <c r="J1749" s="58" t="s">
        <v>784</v>
      </c>
      <c r="K1749">
        <v>4.2</v>
      </c>
      <c r="L1749" s="26">
        <v>3.6</v>
      </c>
      <c r="M1749" s="58">
        <v>57</v>
      </c>
      <c r="N1749" s="59" t="s">
        <v>110</v>
      </c>
      <c r="O1749" s="61" t="s">
        <v>1466</v>
      </c>
    </row>
    <row r="1750" spans="1:15" ht="60" x14ac:dyDescent="0.25">
      <c r="A1750">
        <v>10095</v>
      </c>
      <c r="B1750">
        <v>1</v>
      </c>
      <c r="C1750" s="56" t="s">
        <v>0</v>
      </c>
      <c r="D1750">
        <v>2018</v>
      </c>
      <c r="E1750">
        <v>44</v>
      </c>
      <c r="F1750" s="57">
        <v>12.34</v>
      </c>
      <c r="G1750">
        <v>5</v>
      </c>
      <c r="H1750" s="58">
        <v>-13.2698</v>
      </c>
      <c r="I1750" s="57">
        <v>45.644199999999998</v>
      </c>
      <c r="J1750" s="58" t="s">
        <v>1</v>
      </c>
      <c r="K1750">
        <v>4.2</v>
      </c>
      <c r="L1750" s="26"/>
      <c r="M1750" s="58">
        <v>118</v>
      </c>
      <c r="N1750" s="59" t="s">
        <v>241</v>
      </c>
      <c r="O1750" s="61" t="s">
        <v>1464</v>
      </c>
    </row>
    <row r="1751" spans="1:15" ht="60" x14ac:dyDescent="0.25">
      <c r="A1751">
        <v>10096</v>
      </c>
      <c r="B1751">
        <v>1</v>
      </c>
      <c r="C1751" s="56" t="s">
        <v>0</v>
      </c>
      <c r="D1751">
        <v>2018</v>
      </c>
      <c r="E1751">
        <v>17</v>
      </c>
      <c r="F1751" s="57">
        <v>14.98</v>
      </c>
      <c r="G1751">
        <v>6</v>
      </c>
      <c r="H1751" s="58">
        <v>-13.3095</v>
      </c>
      <c r="I1751" s="57">
        <v>45.399299999999997</v>
      </c>
      <c r="J1751" s="58">
        <v>118.7</v>
      </c>
      <c r="K1751">
        <v>3.6</v>
      </c>
      <c r="L1751" s="26"/>
      <c r="M1751" s="58">
        <v>77</v>
      </c>
      <c r="N1751" s="59" t="s">
        <v>241</v>
      </c>
      <c r="O1751" s="61" t="s">
        <v>1464</v>
      </c>
    </row>
    <row r="1752" spans="1:15" ht="60" x14ac:dyDescent="0.25">
      <c r="A1752">
        <v>10097</v>
      </c>
      <c r="B1752">
        <v>1</v>
      </c>
      <c r="C1752" s="56" t="s">
        <v>0</v>
      </c>
      <c r="D1752">
        <v>2018</v>
      </c>
      <c r="E1752">
        <v>14</v>
      </c>
      <c r="F1752" s="57">
        <v>50.86</v>
      </c>
      <c r="G1752">
        <v>7</v>
      </c>
      <c r="H1752" s="58">
        <v>-12.337999999999999</v>
      </c>
      <c r="I1752" s="57">
        <v>43.705100000000002</v>
      </c>
      <c r="J1752" s="58" t="s">
        <v>1</v>
      </c>
      <c r="K1752">
        <v>4.0999999999999996</v>
      </c>
      <c r="L1752" s="26"/>
      <c r="M1752" s="58">
        <v>109</v>
      </c>
      <c r="N1752" s="59" t="s">
        <v>241</v>
      </c>
      <c r="O1752" s="61" t="s">
        <v>1467</v>
      </c>
    </row>
    <row r="1753" spans="1:15" ht="60" x14ac:dyDescent="0.25">
      <c r="A1753">
        <v>10098</v>
      </c>
      <c r="B1753">
        <v>1</v>
      </c>
      <c r="C1753" s="56" t="s">
        <v>0</v>
      </c>
      <c r="D1753">
        <v>2018</v>
      </c>
      <c r="E1753">
        <v>28</v>
      </c>
      <c r="F1753" s="57">
        <v>20.7</v>
      </c>
      <c r="G1753">
        <v>8</v>
      </c>
      <c r="H1753" s="58">
        <v>-12.900600000000001</v>
      </c>
      <c r="I1753" s="57">
        <v>45.6096</v>
      </c>
      <c r="J1753" s="58" t="s">
        <v>1</v>
      </c>
      <c r="K1753">
        <v>4</v>
      </c>
      <c r="L1753" s="26"/>
      <c r="M1753" s="58">
        <v>78</v>
      </c>
      <c r="N1753" s="59" t="s">
        <v>241</v>
      </c>
      <c r="O1753" s="61" t="s">
        <v>1464</v>
      </c>
    </row>
    <row r="1754" spans="1:15" ht="60" x14ac:dyDescent="0.25">
      <c r="A1754">
        <v>10099</v>
      </c>
      <c r="B1754">
        <v>1</v>
      </c>
      <c r="C1754" s="56" t="s">
        <v>0</v>
      </c>
      <c r="D1754">
        <v>2018</v>
      </c>
      <c r="E1754">
        <v>37</v>
      </c>
      <c r="F1754" s="57">
        <v>42.18</v>
      </c>
      <c r="G1754">
        <v>9</v>
      </c>
      <c r="H1754" s="58">
        <v>-12.979799999999999</v>
      </c>
      <c r="I1754" s="57">
        <v>45.289099999999998</v>
      </c>
      <c r="J1754" s="58" t="s">
        <v>1</v>
      </c>
      <c r="K1754">
        <v>3.9</v>
      </c>
      <c r="L1754" s="26"/>
      <c r="M1754" s="58">
        <v>72</v>
      </c>
      <c r="N1754" s="59" t="s">
        <v>241</v>
      </c>
      <c r="O1754" s="61" t="s">
        <v>1464</v>
      </c>
    </row>
    <row r="1755" spans="1:15" ht="45" x14ac:dyDescent="0.25">
      <c r="A1755">
        <v>10100</v>
      </c>
      <c r="B1755">
        <v>2</v>
      </c>
      <c r="C1755" s="56" t="s">
        <v>0</v>
      </c>
      <c r="D1755">
        <v>2018</v>
      </c>
      <c r="E1755">
        <v>43</v>
      </c>
      <c r="F1755" s="57">
        <v>36.83</v>
      </c>
      <c r="G1755">
        <v>5</v>
      </c>
      <c r="H1755" s="58">
        <v>35.104700000000001</v>
      </c>
      <c r="I1755" s="57">
        <v>11.562200000000001</v>
      </c>
      <c r="J1755" s="58" t="s">
        <v>1</v>
      </c>
      <c r="K1755">
        <v>4</v>
      </c>
      <c r="L1755" s="26"/>
      <c r="M1755" s="58">
        <v>6</v>
      </c>
      <c r="N1755" s="59" t="s">
        <v>2</v>
      </c>
      <c r="O1755" s="61" t="s">
        <v>1468</v>
      </c>
    </row>
    <row r="1756" spans="1:15" ht="60" x14ac:dyDescent="0.25">
      <c r="A1756">
        <v>10101</v>
      </c>
      <c r="B1756">
        <v>2</v>
      </c>
      <c r="C1756" s="56" t="s">
        <v>0</v>
      </c>
      <c r="D1756">
        <v>2018</v>
      </c>
      <c r="E1756">
        <v>16</v>
      </c>
      <c r="F1756" s="57">
        <v>1.89</v>
      </c>
      <c r="G1756">
        <v>6</v>
      </c>
      <c r="H1756" s="58">
        <v>-16.0457</v>
      </c>
      <c r="I1756" s="57">
        <v>46.741799999999998</v>
      </c>
      <c r="J1756" s="58" t="s">
        <v>1</v>
      </c>
      <c r="K1756">
        <v>4.0999999999999996</v>
      </c>
      <c r="L1756" s="26"/>
      <c r="M1756" s="58">
        <v>165</v>
      </c>
      <c r="N1756" s="59" t="s">
        <v>177</v>
      </c>
      <c r="O1756" s="61" t="s">
        <v>1469</v>
      </c>
    </row>
    <row r="1757" spans="1:15" ht="60" x14ac:dyDescent="0.25">
      <c r="A1757">
        <v>10102</v>
      </c>
      <c r="B1757">
        <v>2</v>
      </c>
      <c r="C1757" s="56" t="s">
        <v>0</v>
      </c>
      <c r="D1757">
        <v>2018</v>
      </c>
      <c r="E1757">
        <v>43</v>
      </c>
      <c r="F1757" s="57">
        <v>12.82</v>
      </c>
      <c r="G1757">
        <v>7</v>
      </c>
      <c r="H1757" s="58">
        <v>-13.4428</v>
      </c>
      <c r="I1757" s="57">
        <v>44.7547</v>
      </c>
      <c r="J1757" s="58">
        <v>442.9</v>
      </c>
      <c r="K1757">
        <v>3.4</v>
      </c>
      <c r="L1757" s="26"/>
      <c r="M1757" s="58">
        <v>65</v>
      </c>
      <c r="N1757" s="59" t="s">
        <v>241</v>
      </c>
      <c r="O1757" s="61" t="s">
        <v>1464</v>
      </c>
    </row>
    <row r="1758" spans="1:15" ht="60" x14ac:dyDescent="0.25">
      <c r="A1758">
        <v>10103</v>
      </c>
      <c r="B1758" s="8">
        <v>2</v>
      </c>
      <c r="C1758" s="56" t="s">
        <v>0</v>
      </c>
      <c r="D1758">
        <v>2018</v>
      </c>
      <c r="E1758" s="8">
        <v>52</v>
      </c>
      <c r="F1758" s="9">
        <v>16.04</v>
      </c>
      <c r="G1758" s="8">
        <v>15</v>
      </c>
      <c r="H1758" s="11">
        <v>5.3609999999999998</v>
      </c>
      <c r="I1758" s="9">
        <v>-4.3276000000000003</v>
      </c>
      <c r="J1758" s="11" t="s">
        <v>1</v>
      </c>
      <c r="K1758" s="8">
        <v>4</v>
      </c>
      <c r="L1758" s="11"/>
      <c r="M1758" s="11">
        <v>88</v>
      </c>
      <c r="N1758" s="12" t="s">
        <v>1470</v>
      </c>
      <c r="O1758" s="13" t="s">
        <v>1471</v>
      </c>
    </row>
    <row r="1759" spans="1:15" ht="60" x14ac:dyDescent="0.25">
      <c r="A1759">
        <v>10104</v>
      </c>
      <c r="B1759">
        <v>2</v>
      </c>
      <c r="C1759" s="56" t="s">
        <v>0</v>
      </c>
      <c r="D1759">
        <v>2018</v>
      </c>
      <c r="E1759">
        <v>30</v>
      </c>
      <c r="F1759" s="57">
        <v>31.23</v>
      </c>
      <c r="G1759">
        <v>17</v>
      </c>
      <c r="H1759" s="58">
        <v>-14.278499999999999</v>
      </c>
      <c r="I1759" s="57">
        <v>46.114800000000002</v>
      </c>
      <c r="J1759" s="58" t="s">
        <v>1</v>
      </c>
      <c r="K1759">
        <v>3.9</v>
      </c>
      <c r="L1759" s="26"/>
      <c r="M1759" s="58">
        <v>149</v>
      </c>
      <c r="N1759" s="59" t="s">
        <v>177</v>
      </c>
      <c r="O1759" s="61" t="s">
        <v>895</v>
      </c>
    </row>
    <row r="1760" spans="1:15" ht="60" x14ac:dyDescent="0.25">
      <c r="A1760">
        <v>10105</v>
      </c>
      <c r="B1760">
        <v>2</v>
      </c>
      <c r="C1760" s="56" t="s">
        <v>0</v>
      </c>
      <c r="D1760">
        <v>2018</v>
      </c>
      <c r="E1760">
        <v>39</v>
      </c>
      <c r="F1760" s="57">
        <v>24.43</v>
      </c>
      <c r="G1760">
        <v>17</v>
      </c>
      <c r="H1760" s="58">
        <v>-13.057399999999999</v>
      </c>
      <c r="I1760" s="57">
        <v>45.160200000000003</v>
      </c>
      <c r="J1760" s="58" t="s">
        <v>1</v>
      </c>
      <c r="K1760">
        <v>4.0999999999999996</v>
      </c>
      <c r="L1760" s="26"/>
      <c r="M1760" s="58">
        <v>148</v>
      </c>
      <c r="N1760" s="59" t="s">
        <v>241</v>
      </c>
      <c r="O1760" s="61" t="s">
        <v>1472</v>
      </c>
    </row>
    <row r="1761" spans="1:15" ht="60" x14ac:dyDescent="0.25">
      <c r="A1761">
        <v>10106</v>
      </c>
      <c r="B1761">
        <v>2</v>
      </c>
      <c r="C1761" s="56" t="s">
        <v>0</v>
      </c>
      <c r="D1761">
        <v>2018</v>
      </c>
      <c r="E1761">
        <v>15</v>
      </c>
      <c r="F1761" s="57">
        <v>34.06</v>
      </c>
      <c r="G1761">
        <v>20</v>
      </c>
      <c r="H1761" s="58">
        <v>-28.055700000000002</v>
      </c>
      <c r="I1761" s="57">
        <v>26.523599999999998</v>
      </c>
      <c r="J1761" s="58" t="s">
        <v>315</v>
      </c>
      <c r="K1761">
        <v>4.3</v>
      </c>
      <c r="L1761" s="26"/>
      <c r="M1761" s="58">
        <v>152</v>
      </c>
      <c r="N1761" s="59" t="s">
        <v>6</v>
      </c>
      <c r="O1761" s="61" t="s">
        <v>1473</v>
      </c>
    </row>
    <row r="1762" spans="1:15" ht="45" x14ac:dyDescent="0.25">
      <c r="A1762">
        <v>10107</v>
      </c>
      <c r="B1762" s="8">
        <v>2</v>
      </c>
      <c r="C1762" s="56" t="s">
        <v>0</v>
      </c>
      <c r="D1762">
        <v>2018</v>
      </c>
      <c r="E1762" s="8">
        <v>8</v>
      </c>
      <c r="F1762" s="9">
        <v>55.9</v>
      </c>
      <c r="G1762" s="8">
        <v>22</v>
      </c>
      <c r="H1762" s="11">
        <v>13.203200000000001</v>
      </c>
      <c r="I1762" s="9">
        <v>-6.6673999999999998</v>
      </c>
      <c r="J1762" s="11" t="s">
        <v>1</v>
      </c>
      <c r="K1762" s="8">
        <v>4.3</v>
      </c>
      <c r="L1762" s="11">
        <v>2.2999999999999998</v>
      </c>
      <c r="M1762" s="11">
        <v>114</v>
      </c>
      <c r="N1762" s="12" t="s">
        <v>1470</v>
      </c>
      <c r="O1762" s="13" t="s">
        <v>1474</v>
      </c>
    </row>
    <row r="1763" spans="1:15" ht="60" x14ac:dyDescent="0.25">
      <c r="A1763">
        <v>10108</v>
      </c>
      <c r="B1763" s="8">
        <v>2</v>
      </c>
      <c r="C1763" s="56" t="s">
        <v>0</v>
      </c>
      <c r="D1763">
        <v>2018</v>
      </c>
      <c r="E1763" s="8">
        <v>45</v>
      </c>
      <c r="F1763" s="9">
        <v>23.44</v>
      </c>
      <c r="G1763" s="8">
        <v>22</v>
      </c>
      <c r="H1763" s="11">
        <v>6.8262999999999998</v>
      </c>
      <c r="I1763" s="9">
        <v>-7.2407000000000004</v>
      </c>
      <c r="J1763" s="11" t="s">
        <v>1</v>
      </c>
      <c r="K1763" s="8">
        <v>4.2</v>
      </c>
      <c r="L1763" s="11"/>
      <c r="M1763" s="11">
        <v>167</v>
      </c>
      <c r="N1763" s="12" t="s">
        <v>1470</v>
      </c>
      <c r="O1763" s="13" t="s">
        <v>1475</v>
      </c>
    </row>
    <row r="1764" spans="1:15" ht="60" x14ac:dyDescent="0.25">
      <c r="A1764">
        <v>10109</v>
      </c>
      <c r="B1764">
        <v>3</v>
      </c>
      <c r="C1764" s="56" t="s">
        <v>0</v>
      </c>
      <c r="D1764">
        <v>2018</v>
      </c>
      <c r="E1764">
        <v>57</v>
      </c>
      <c r="F1764" s="57">
        <v>40.92</v>
      </c>
      <c r="G1764">
        <v>1</v>
      </c>
      <c r="H1764" s="58">
        <v>-13.861000000000001</v>
      </c>
      <c r="I1764" s="57">
        <v>45.529699999999998</v>
      </c>
      <c r="J1764" s="58" t="s">
        <v>1</v>
      </c>
      <c r="K1764">
        <v>3.9</v>
      </c>
      <c r="L1764" s="26"/>
      <c r="M1764" s="58">
        <v>127</v>
      </c>
      <c r="N1764" s="59" t="s">
        <v>241</v>
      </c>
      <c r="O1764" s="61" t="s">
        <v>1464</v>
      </c>
    </row>
    <row r="1765" spans="1:15" ht="60" x14ac:dyDescent="0.25">
      <c r="A1765">
        <v>10110</v>
      </c>
      <c r="B1765">
        <v>3</v>
      </c>
      <c r="C1765" s="56" t="s">
        <v>0</v>
      </c>
      <c r="D1765">
        <v>2018</v>
      </c>
      <c r="E1765">
        <v>58</v>
      </c>
      <c r="F1765" s="57">
        <v>14.6</v>
      </c>
      <c r="G1765">
        <v>1</v>
      </c>
      <c r="H1765" s="58">
        <v>-13.028700000000001</v>
      </c>
      <c r="I1765" s="57">
        <v>45.316299999999998</v>
      </c>
      <c r="J1765" s="58">
        <v>359.3</v>
      </c>
      <c r="K1765">
        <v>3.4</v>
      </c>
      <c r="L1765" s="26"/>
      <c r="M1765" s="58">
        <v>74</v>
      </c>
      <c r="N1765" s="59" t="s">
        <v>241</v>
      </c>
      <c r="O1765" s="61" t="s">
        <v>1476</v>
      </c>
    </row>
    <row r="1766" spans="1:15" ht="60" x14ac:dyDescent="0.25">
      <c r="A1766">
        <v>10111</v>
      </c>
      <c r="B1766">
        <v>3</v>
      </c>
      <c r="C1766" s="56" t="s">
        <v>0</v>
      </c>
      <c r="D1766">
        <v>2018</v>
      </c>
      <c r="E1766">
        <v>37</v>
      </c>
      <c r="F1766" s="57">
        <v>1.67</v>
      </c>
      <c r="G1766">
        <v>2</v>
      </c>
      <c r="H1766" s="58">
        <v>-12.6816</v>
      </c>
      <c r="I1766" s="57">
        <v>44.185899999999997</v>
      </c>
      <c r="J1766" s="58" t="s">
        <v>1</v>
      </c>
      <c r="K1766">
        <v>3.8</v>
      </c>
      <c r="L1766" s="26"/>
      <c r="M1766" s="58">
        <v>117</v>
      </c>
      <c r="N1766" s="59" t="s">
        <v>241</v>
      </c>
      <c r="O1766" s="61" t="s">
        <v>1477</v>
      </c>
    </row>
    <row r="1767" spans="1:15" ht="60" x14ac:dyDescent="0.25">
      <c r="A1767">
        <v>10112</v>
      </c>
      <c r="B1767">
        <v>3</v>
      </c>
      <c r="C1767" s="56" t="s">
        <v>0</v>
      </c>
      <c r="D1767">
        <v>2018</v>
      </c>
      <c r="E1767">
        <v>4</v>
      </c>
      <c r="F1767" s="57">
        <v>1.3</v>
      </c>
      <c r="G1767">
        <v>3</v>
      </c>
      <c r="H1767" s="58">
        <v>-14.3752</v>
      </c>
      <c r="I1767" s="57">
        <v>46.2029</v>
      </c>
      <c r="J1767" s="58" t="s">
        <v>1</v>
      </c>
      <c r="K1767">
        <v>4</v>
      </c>
      <c r="L1767" s="26"/>
      <c r="M1767" s="58">
        <v>96</v>
      </c>
      <c r="N1767" s="59" t="s">
        <v>177</v>
      </c>
      <c r="O1767" s="61" t="s">
        <v>895</v>
      </c>
    </row>
    <row r="1768" spans="1:15" ht="60" x14ac:dyDescent="0.25">
      <c r="A1768">
        <v>10113</v>
      </c>
      <c r="B1768">
        <v>3</v>
      </c>
      <c r="C1768" s="56" t="s">
        <v>0</v>
      </c>
      <c r="D1768">
        <v>2018</v>
      </c>
      <c r="E1768">
        <v>26</v>
      </c>
      <c r="F1768" s="57">
        <v>46.16</v>
      </c>
      <c r="G1768">
        <v>3</v>
      </c>
      <c r="H1768" s="58">
        <v>-13.793900000000001</v>
      </c>
      <c r="I1768" s="57">
        <v>44.498100000000001</v>
      </c>
      <c r="J1768" s="58">
        <v>584.5</v>
      </c>
      <c r="K1768">
        <v>3.2</v>
      </c>
      <c r="L1768" s="26"/>
      <c r="M1768" s="58">
        <v>63</v>
      </c>
      <c r="N1768" s="59" t="s">
        <v>241</v>
      </c>
      <c r="O1768" s="61" t="s">
        <v>1439</v>
      </c>
    </row>
    <row r="1769" spans="1:15" ht="60" x14ac:dyDescent="0.25">
      <c r="A1769">
        <v>10114</v>
      </c>
      <c r="B1769">
        <v>3</v>
      </c>
      <c r="C1769" s="56" t="s">
        <v>0</v>
      </c>
      <c r="D1769">
        <v>2018</v>
      </c>
      <c r="E1769">
        <v>13</v>
      </c>
      <c r="F1769" s="57">
        <v>42.39</v>
      </c>
      <c r="G1769">
        <v>6</v>
      </c>
      <c r="H1769" s="58">
        <v>-12.7585</v>
      </c>
      <c r="I1769" s="57">
        <v>45.644599999999997</v>
      </c>
      <c r="J1769" s="58" t="s">
        <v>1</v>
      </c>
      <c r="K1769">
        <v>4.5</v>
      </c>
      <c r="L1769" s="26"/>
      <c r="M1769" s="58">
        <v>62</v>
      </c>
      <c r="N1769" s="59" t="s">
        <v>241</v>
      </c>
      <c r="O1769" s="61" t="s">
        <v>1439</v>
      </c>
    </row>
    <row r="1770" spans="1:15" ht="60" x14ac:dyDescent="0.25">
      <c r="A1770">
        <v>10115</v>
      </c>
      <c r="B1770">
        <v>3</v>
      </c>
      <c r="C1770" s="56" t="s">
        <v>0</v>
      </c>
      <c r="D1770">
        <v>2018</v>
      </c>
      <c r="E1770">
        <v>36</v>
      </c>
      <c r="F1770" s="57">
        <v>38.619999999999997</v>
      </c>
      <c r="G1770">
        <v>6</v>
      </c>
      <c r="H1770" s="58">
        <v>-17.1401</v>
      </c>
      <c r="I1770" s="57">
        <v>46.2774</v>
      </c>
      <c r="J1770" s="58" t="s">
        <v>1</v>
      </c>
      <c r="K1770">
        <v>3.8</v>
      </c>
      <c r="L1770" s="26"/>
      <c r="M1770" s="58">
        <v>166</v>
      </c>
      <c r="N1770" s="59" t="s">
        <v>177</v>
      </c>
      <c r="O1770" s="61" t="s">
        <v>1478</v>
      </c>
    </row>
    <row r="1771" spans="1:15" ht="75" x14ac:dyDescent="0.25">
      <c r="A1771">
        <v>10116</v>
      </c>
      <c r="B1771">
        <v>3</v>
      </c>
      <c r="C1771" s="56" t="s">
        <v>0</v>
      </c>
      <c r="D1771">
        <v>2018</v>
      </c>
      <c r="E1771">
        <v>2</v>
      </c>
      <c r="F1771" s="57">
        <v>25.49</v>
      </c>
      <c r="G1771">
        <v>17</v>
      </c>
      <c r="H1771" s="58">
        <v>-21.099499999999999</v>
      </c>
      <c r="I1771" s="57">
        <v>47.842799999999997</v>
      </c>
      <c r="J1771" s="58" t="s">
        <v>1</v>
      </c>
      <c r="K1771">
        <v>3.9</v>
      </c>
      <c r="L1771" s="26"/>
      <c r="M1771" s="58">
        <v>170</v>
      </c>
      <c r="N1771" s="59" t="s">
        <v>177</v>
      </c>
      <c r="O1771" s="61" t="s">
        <v>1479</v>
      </c>
    </row>
    <row r="1772" spans="1:15" ht="45" x14ac:dyDescent="0.25">
      <c r="A1772">
        <v>10117</v>
      </c>
      <c r="B1772">
        <v>3</v>
      </c>
      <c r="C1772" s="56" t="s">
        <v>0</v>
      </c>
      <c r="D1772">
        <v>2018</v>
      </c>
      <c r="E1772">
        <v>54</v>
      </c>
      <c r="F1772" s="57">
        <v>19.23</v>
      </c>
      <c r="G1772">
        <v>19</v>
      </c>
      <c r="H1772" s="58">
        <v>29.139099999999999</v>
      </c>
      <c r="I1772" s="57">
        <v>2.3782999999999999</v>
      </c>
      <c r="J1772" s="58" t="s">
        <v>1</v>
      </c>
      <c r="K1772">
        <v>3.3</v>
      </c>
      <c r="L1772" s="26">
        <v>2.5</v>
      </c>
      <c r="M1772" s="58">
        <v>108</v>
      </c>
      <c r="N1772" s="59" t="s">
        <v>10</v>
      </c>
      <c r="O1772" s="61" t="s">
        <v>1480</v>
      </c>
    </row>
    <row r="1773" spans="1:15" ht="45" x14ac:dyDescent="0.25">
      <c r="A1773">
        <v>10118</v>
      </c>
      <c r="B1773">
        <v>3</v>
      </c>
      <c r="C1773" s="56" t="s">
        <v>0</v>
      </c>
      <c r="D1773">
        <v>2018</v>
      </c>
      <c r="E1773">
        <v>9</v>
      </c>
      <c r="F1773" s="57">
        <v>29.77</v>
      </c>
      <c r="G1773">
        <v>21</v>
      </c>
      <c r="H1773" s="58">
        <v>34.302199999999999</v>
      </c>
      <c r="I1773" s="57">
        <v>-0.71579999999999999</v>
      </c>
      <c r="J1773" s="58" t="s">
        <v>1</v>
      </c>
      <c r="K1773">
        <v>3.6</v>
      </c>
      <c r="L1773" s="26"/>
      <c r="M1773" s="58">
        <v>92</v>
      </c>
      <c r="N1773" s="59" t="s">
        <v>10</v>
      </c>
      <c r="O1773" s="61" t="s">
        <v>1481</v>
      </c>
    </row>
    <row r="1774" spans="1:15" ht="60" x14ac:dyDescent="0.25">
      <c r="A1774">
        <v>10119</v>
      </c>
      <c r="B1774">
        <v>4</v>
      </c>
      <c r="C1774" s="56" t="s">
        <v>0</v>
      </c>
      <c r="D1774">
        <v>2018</v>
      </c>
      <c r="E1774">
        <v>3</v>
      </c>
      <c r="F1774" s="57">
        <v>34.32</v>
      </c>
      <c r="G1774">
        <v>0</v>
      </c>
      <c r="H1774" s="58">
        <v>-14.0046</v>
      </c>
      <c r="I1774" s="57">
        <v>45.910800000000002</v>
      </c>
      <c r="J1774" s="58" t="s">
        <v>1</v>
      </c>
      <c r="K1774">
        <v>4</v>
      </c>
      <c r="L1774" s="26"/>
      <c r="M1774" s="58">
        <v>123</v>
      </c>
      <c r="N1774" s="59" t="s">
        <v>75</v>
      </c>
      <c r="O1774" s="61" t="s">
        <v>1439</v>
      </c>
    </row>
    <row r="1775" spans="1:15" ht="45" x14ac:dyDescent="0.25">
      <c r="A1775">
        <v>10120</v>
      </c>
      <c r="B1775">
        <v>4</v>
      </c>
      <c r="C1775" s="56" t="s">
        <v>0</v>
      </c>
      <c r="D1775">
        <v>2018</v>
      </c>
      <c r="E1775">
        <v>38</v>
      </c>
      <c r="F1775" s="57">
        <v>27.85</v>
      </c>
      <c r="G1775">
        <v>6</v>
      </c>
      <c r="H1775" s="58">
        <v>-11.2987</v>
      </c>
      <c r="I1775" s="57">
        <v>29.462700000000002</v>
      </c>
      <c r="J1775" s="58" t="s">
        <v>1</v>
      </c>
      <c r="K1775">
        <v>4.2</v>
      </c>
      <c r="L1775" s="26">
        <v>4.3</v>
      </c>
      <c r="M1775" s="58">
        <v>104</v>
      </c>
      <c r="N1775" s="59" t="s">
        <v>82</v>
      </c>
      <c r="O1775" s="61" t="s">
        <v>1482</v>
      </c>
    </row>
    <row r="1776" spans="1:15" ht="60" x14ac:dyDescent="0.25">
      <c r="A1776">
        <v>10121</v>
      </c>
      <c r="B1776">
        <v>4</v>
      </c>
      <c r="C1776" s="56" t="s">
        <v>0</v>
      </c>
      <c r="D1776">
        <v>2018</v>
      </c>
      <c r="E1776">
        <v>52</v>
      </c>
      <c r="F1776" s="57">
        <v>1.1200000000000001</v>
      </c>
      <c r="G1776">
        <v>18</v>
      </c>
      <c r="H1776" s="58">
        <v>-13.816000000000001</v>
      </c>
      <c r="I1776" s="57">
        <v>46.020400000000002</v>
      </c>
      <c r="J1776" s="58" t="s">
        <v>1</v>
      </c>
      <c r="K1776">
        <v>4.2</v>
      </c>
      <c r="L1776" s="26"/>
      <c r="M1776" s="58">
        <v>19</v>
      </c>
      <c r="N1776" s="59" t="s">
        <v>241</v>
      </c>
      <c r="O1776" s="61" t="s">
        <v>1439</v>
      </c>
    </row>
    <row r="1777" spans="1:15" ht="60" x14ac:dyDescent="0.25">
      <c r="A1777">
        <v>10122</v>
      </c>
      <c r="B1777">
        <v>4</v>
      </c>
      <c r="C1777" s="56" t="s">
        <v>0</v>
      </c>
      <c r="D1777">
        <v>2018</v>
      </c>
      <c r="E1777">
        <v>53</v>
      </c>
      <c r="F1777" s="57">
        <v>25.76</v>
      </c>
      <c r="G1777">
        <v>18</v>
      </c>
      <c r="H1777" s="58">
        <v>-27.584099999999999</v>
      </c>
      <c r="I1777" s="57">
        <v>24.1876</v>
      </c>
      <c r="J1777" s="58" t="s">
        <v>1</v>
      </c>
      <c r="K1777">
        <v>4.2</v>
      </c>
      <c r="L1777" s="26"/>
      <c r="M1777" s="58">
        <v>28</v>
      </c>
      <c r="N1777" s="59" t="s">
        <v>6</v>
      </c>
      <c r="O1777" s="61" t="s">
        <v>1483</v>
      </c>
    </row>
    <row r="1778" spans="1:15" ht="60" x14ac:dyDescent="0.25">
      <c r="A1778">
        <v>10123</v>
      </c>
      <c r="B1778" s="8">
        <v>4</v>
      </c>
      <c r="C1778" s="56" t="s">
        <v>0</v>
      </c>
      <c r="D1778">
        <v>2018</v>
      </c>
      <c r="E1778" s="8">
        <v>11</v>
      </c>
      <c r="F1778" s="9">
        <v>18.12</v>
      </c>
      <c r="G1778" s="8">
        <v>19</v>
      </c>
      <c r="H1778" s="11">
        <v>7.1890000000000001</v>
      </c>
      <c r="I1778" s="9">
        <v>-7.4608999999999996</v>
      </c>
      <c r="J1778" s="11" t="s">
        <v>1</v>
      </c>
      <c r="K1778" s="8">
        <v>4.2</v>
      </c>
      <c r="L1778" s="11"/>
      <c r="M1778" s="11">
        <v>176</v>
      </c>
      <c r="N1778" s="12" t="s">
        <v>1470</v>
      </c>
      <c r="O1778" s="13" t="s">
        <v>1484</v>
      </c>
    </row>
    <row r="1779" spans="1:15" ht="60" x14ac:dyDescent="0.25">
      <c r="A1779">
        <v>10124</v>
      </c>
      <c r="B1779">
        <v>4</v>
      </c>
      <c r="C1779" s="56" t="s">
        <v>0</v>
      </c>
      <c r="D1779">
        <v>2018</v>
      </c>
      <c r="E1779">
        <v>53</v>
      </c>
      <c r="F1779" s="57">
        <v>32.74</v>
      </c>
      <c r="G1779">
        <v>19</v>
      </c>
      <c r="H1779" s="58">
        <v>-13.0169</v>
      </c>
      <c r="I1779" s="57">
        <v>45.546999999999997</v>
      </c>
      <c r="J1779" s="58" t="s">
        <v>1</v>
      </c>
      <c r="K1779">
        <v>4.4000000000000004</v>
      </c>
      <c r="L1779" s="26"/>
      <c r="M1779" s="58">
        <v>80</v>
      </c>
      <c r="N1779" s="59" t="s">
        <v>241</v>
      </c>
      <c r="O1779" s="61" t="s">
        <v>1439</v>
      </c>
    </row>
    <row r="1780" spans="1:15" ht="60" x14ac:dyDescent="0.25">
      <c r="A1780">
        <v>10125</v>
      </c>
      <c r="B1780">
        <v>4</v>
      </c>
      <c r="C1780" s="56" t="s">
        <v>0</v>
      </c>
      <c r="D1780">
        <v>2018</v>
      </c>
      <c r="E1780">
        <v>20</v>
      </c>
      <c r="F1780" s="57">
        <v>28.07</v>
      </c>
      <c r="G1780">
        <v>21</v>
      </c>
      <c r="H1780" s="58">
        <v>-12.9413</v>
      </c>
      <c r="I1780" s="57">
        <v>45.518300000000004</v>
      </c>
      <c r="J1780" s="58" t="s">
        <v>1</v>
      </c>
      <c r="K1780">
        <v>4.3</v>
      </c>
      <c r="L1780" s="26"/>
      <c r="M1780" s="58">
        <v>77</v>
      </c>
      <c r="N1780" s="59" t="s">
        <v>241</v>
      </c>
      <c r="O1780" s="61" t="s">
        <v>1439</v>
      </c>
    </row>
    <row r="1781" spans="1:15" ht="45" x14ac:dyDescent="0.25">
      <c r="A1781">
        <v>10126</v>
      </c>
      <c r="B1781">
        <v>4</v>
      </c>
      <c r="C1781" s="56" t="s">
        <v>0</v>
      </c>
      <c r="D1781">
        <v>2018</v>
      </c>
      <c r="E1781">
        <v>11</v>
      </c>
      <c r="F1781" s="57">
        <v>48.45</v>
      </c>
      <c r="G1781">
        <v>22</v>
      </c>
      <c r="H1781" s="58">
        <v>32.293100000000003</v>
      </c>
      <c r="I1781" s="57">
        <v>-4.04</v>
      </c>
      <c r="J1781" s="58">
        <v>33</v>
      </c>
      <c r="K1781">
        <v>3.9</v>
      </c>
      <c r="L1781" s="26">
        <v>4.0999999999999996</v>
      </c>
      <c r="M1781" s="58">
        <v>91</v>
      </c>
      <c r="N1781" s="59" t="s">
        <v>28</v>
      </c>
      <c r="O1781" s="61" t="s">
        <v>1485</v>
      </c>
    </row>
    <row r="1782" spans="1:15" ht="45" x14ac:dyDescent="0.25">
      <c r="A1782">
        <v>10127</v>
      </c>
      <c r="B1782">
        <v>4</v>
      </c>
      <c r="C1782" s="56" t="s">
        <v>0</v>
      </c>
      <c r="D1782">
        <v>2018</v>
      </c>
      <c r="E1782">
        <v>12</v>
      </c>
      <c r="F1782" s="57">
        <v>13.84</v>
      </c>
      <c r="G1782">
        <v>22</v>
      </c>
      <c r="H1782" s="58">
        <v>32.804699999999997</v>
      </c>
      <c r="I1782" s="57">
        <v>-2.8986000000000001</v>
      </c>
      <c r="J1782" s="58" t="s">
        <v>1</v>
      </c>
      <c r="K1782">
        <v>3.9</v>
      </c>
      <c r="L1782" s="26">
        <v>4</v>
      </c>
      <c r="M1782" s="58">
        <v>95</v>
      </c>
      <c r="N1782" s="59" t="s">
        <v>28</v>
      </c>
      <c r="O1782" s="61" t="s">
        <v>1486</v>
      </c>
    </row>
    <row r="1783" spans="1:15" ht="60" x14ac:dyDescent="0.25">
      <c r="A1783">
        <v>10128</v>
      </c>
      <c r="B1783" s="8">
        <v>5</v>
      </c>
      <c r="C1783" s="56" t="s">
        <v>0</v>
      </c>
      <c r="D1783">
        <v>2018</v>
      </c>
      <c r="E1783" s="8">
        <v>19</v>
      </c>
      <c r="F1783" s="9">
        <v>31.19</v>
      </c>
      <c r="G1783" s="8">
        <v>3</v>
      </c>
      <c r="H1783" s="11">
        <v>13.654199999999999</v>
      </c>
      <c r="I1783" s="9">
        <v>0.54090000000000005</v>
      </c>
      <c r="J1783" s="11" t="s">
        <v>1</v>
      </c>
      <c r="K1783" s="8">
        <v>3.9</v>
      </c>
      <c r="L1783" s="11"/>
      <c r="M1783" s="11">
        <v>24</v>
      </c>
      <c r="N1783" s="12" t="s">
        <v>1470</v>
      </c>
      <c r="O1783" s="13" t="s">
        <v>1487</v>
      </c>
    </row>
    <row r="1784" spans="1:15" ht="60" x14ac:dyDescent="0.25">
      <c r="A1784">
        <v>10129</v>
      </c>
      <c r="B1784">
        <v>5</v>
      </c>
      <c r="C1784" s="56" t="s">
        <v>0</v>
      </c>
      <c r="D1784">
        <v>2018</v>
      </c>
      <c r="E1784">
        <v>3</v>
      </c>
      <c r="F1784" s="57">
        <v>47.79</v>
      </c>
      <c r="G1784">
        <v>10</v>
      </c>
      <c r="H1784" s="58">
        <v>34.924999999999997</v>
      </c>
      <c r="I1784" s="57">
        <v>10.742000000000001</v>
      </c>
      <c r="J1784" s="58" t="s">
        <v>1</v>
      </c>
      <c r="K1784">
        <v>4.3</v>
      </c>
      <c r="L1784" s="26"/>
      <c r="M1784" s="58">
        <v>79</v>
      </c>
      <c r="N1784" s="59" t="s">
        <v>2</v>
      </c>
      <c r="O1784" s="61" t="s">
        <v>1488</v>
      </c>
    </row>
    <row r="1785" spans="1:15" ht="75" x14ac:dyDescent="0.25">
      <c r="A1785">
        <v>10130</v>
      </c>
      <c r="B1785">
        <v>5</v>
      </c>
      <c r="C1785" s="56" t="s">
        <v>0</v>
      </c>
      <c r="D1785">
        <v>2018</v>
      </c>
      <c r="E1785">
        <v>12</v>
      </c>
      <c r="F1785" s="57">
        <v>4.3899999999999997</v>
      </c>
      <c r="G1785">
        <v>11</v>
      </c>
      <c r="H1785" s="58">
        <v>-27.8536</v>
      </c>
      <c r="I1785" s="57">
        <v>22.858899999999998</v>
      </c>
      <c r="J1785" s="58" t="s">
        <v>1</v>
      </c>
      <c r="K1785">
        <v>4.3</v>
      </c>
      <c r="L1785" s="26">
        <v>2.2999999999999998</v>
      </c>
      <c r="M1785" s="58">
        <v>21</v>
      </c>
      <c r="N1785" s="59" t="s">
        <v>6</v>
      </c>
      <c r="O1785" s="61" t="s">
        <v>1489</v>
      </c>
    </row>
    <row r="1786" spans="1:15" ht="75" x14ac:dyDescent="0.25">
      <c r="A1786">
        <v>10131</v>
      </c>
      <c r="B1786">
        <v>5</v>
      </c>
      <c r="C1786" s="56" t="s">
        <v>0</v>
      </c>
      <c r="D1786">
        <v>2018</v>
      </c>
      <c r="E1786">
        <v>26</v>
      </c>
      <c r="F1786" s="57">
        <v>44.75</v>
      </c>
      <c r="G1786">
        <v>17</v>
      </c>
      <c r="H1786" s="58">
        <v>-21.628599999999999</v>
      </c>
      <c r="I1786" s="57">
        <v>30.1341</v>
      </c>
      <c r="J1786" s="58" t="s">
        <v>1</v>
      </c>
      <c r="K1786">
        <v>4.2</v>
      </c>
      <c r="L1786" s="26">
        <v>3.4</v>
      </c>
      <c r="M1786" s="58">
        <v>140</v>
      </c>
      <c r="N1786" s="59" t="s">
        <v>237</v>
      </c>
      <c r="O1786" s="61" t="s">
        <v>1490</v>
      </c>
    </row>
    <row r="1787" spans="1:15" ht="60" x14ac:dyDescent="0.25">
      <c r="A1787">
        <v>10132</v>
      </c>
      <c r="B1787">
        <v>5</v>
      </c>
      <c r="C1787" s="56" t="s">
        <v>0</v>
      </c>
      <c r="D1787">
        <v>2018</v>
      </c>
      <c r="E1787">
        <v>55</v>
      </c>
      <c r="F1787" s="57">
        <v>33.6</v>
      </c>
      <c r="G1787">
        <v>22</v>
      </c>
      <c r="H1787" s="58">
        <v>-11.231999999999999</v>
      </c>
      <c r="I1787" s="57">
        <v>42.247100000000003</v>
      </c>
      <c r="J1787" s="58" t="s">
        <v>1</v>
      </c>
      <c r="K1787">
        <v>4.3</v>
      </c>
      <c r="L1787" s="26"/>
      <c r="M1787" s="58">
        <v>119</v>
      </c>
      <c r="N1787" s="59" t="s">
        <v>241</v>
      </c>
      <c r="O1787" s="61" t="s">
        <v>1491</v>
      </c>
    </row>
    <row r="1788" spans="1:15" ht="60" x14ac:dyDescent="0.25">
      <c r="A1788">
        <v>10133</v>
      </c>
      <c r="B1788">
        <v>5</v>
      </c>
      <c r="C1788" s="56" t="s">
        <v>0</v>
      </c>
      <c r="D1788">
        <v>2018</v>
      </c>
      <c r="E1788">
        <v>55</v>
      </c>
      <c r="F1788" s="57">
        <v>49.02</v>
      </c>
      <c r="G1788">
        <v>22</v>
      </c>
      <c r="H1788" s="58">
        <v>-12.5776</v>
      </c>
      <c r="I1788" s="57">
        <v>40.122500000000002</v>
      </c>
      <c r="J1788" s="58">
        <v>135.19999999999999</v>
      </c>
      <c r="K1788">
        <v>4</v>
      </c>
      <c r="L1788" s="26"/>
      <c r="M1788" s="58">
        <v>81</v>
      </c>
      <c r="N1788" s="59" t="s">
        <v>1492</v>
      </c>
      <c r="O1788" s="61" t="s">
        <v>1493</v>
      </c>
    </row>
    <row r="1789" spans="1:15" ht="45" x14ac:dyDescent="0.25">
      <c r="A1789">
        <v>10134</v>
      </c>
      <c r="B1789">
        <v>5</v>
      </c>
      <c r="C1789" s="56" t="s">
        <v>0</v>
      </c>
      <c r="D1789">
        <v>2018</v>
      </c>
      <c r="E1789">
        <v>57</v>
      </c>
      <c r="F1789" s="57">
        <v>24.12</v>
      </c>
      <c r="G1789">
        <v>22</v>
      </c>
      <c r="H1789" s="58">
        <v>2.1168</v>
      </c>
      <c r="I1789" s="57">
        <v>49.833500000000001</v>
      </c>
      <c r="J1789" s="58" t="s">
        <v>1</v>
      </c>
      <c r="K1789">
        <v>4.0999999999999996</v>
      </c>
      <c r="L1789" s="26"/>
      <c r="M1789" s="58">
        <v>45</v>
      </c>
      <c r="N1789" s="59" t="s">
        <v>989</v>
      </c>
      <c r="O1789" s="61" t="s">
        <v>953</v>
      </c>
    </row>
    <row r="1790" spans="1:15" ht="60" x14ac:dyDescent="0.25">
      <c r="A1790">
        <v>10135</v>
      </c>
      <c r="B1790">
        <v>5</v>
      </c>
      <c r="C1790" s="56" t="s">
        <v>0</v>
      </c>
      <c r="D1790">
        <v>2018</v>
      </c>
      <c r="E1790">
        <v>2</v>
      </c>
      <c r="F1790" s="57">
        <v>44.73</v>
      </c>
      <c r="G1790">
        <v>23</v>
      </c>
      <c r="H1790" s="58">
        <v>-12.952199999999999</v>
      </c>
      <c r="I1790" s="57">
        <v>45.584600000000002</v>
      </c>
      <c r="J1790" s="58" t="s">
        <v>1</v>
      </c>
      <c r="K1790">
        <v>4.4000000000000004</v>
      </c>
      <c r="L1790" s="26"/>
      <c r="M1790" s="58">
        <v>71</v>
      </c>
      <c r="N1790" s="59" t="s">
        <v>241</v>
      </c>
      <c r="O1790" s="61" t="s">
        <v>1439</v>
      </c>
    </row>
    <row r="1791" spans="1:15" ht="75" x14ac:dyDescent="0.25">
      <c r="A1791">
        <v>10136</v>
      </c>
      <c r="B1791">
        <v>5</v>
      </c>
      <c r="C1791" s="56" t="s">
        <v>0</v>
      </c>
      <c r="D1791">
        <v>2018</v>
      </c>
      <c r="E1791">
        <v>49</v>
      </c>
      <c r="F1791" s="57">
        <v>20.7</v>
      </c>
      <c r="G1791">
        <v>23</v>
      </c>
      <c r="H1791" s="58">
        <v>34.146599999999999</v>
      </c>
      <c r="I1791" s="57">
        <v>13.578799999999999</v>
      </c>
      <c r="J1791" s="58" t="s">
        <v>1</v>
      </c>
      <c r="K1791">
        <v>4.0999999999999996</v>
      </c>
      <c r="L1791" s="26">
        <v>2</v>
      </c>
      <c r="M1791" s="58">
        <v>155</v>
      </c>
      <c r="N1791" s="59" t="s">
        <v>814</v>
      </c>
      <c r="O1791" s="61" t="s">
        <v>891</v>
      </c>
    </row>
    <row r="1792" spans="1:15" ht="60" x14ac:dyDescent="0.25">
      <c r="A1792">
        <v>10137</v>
      </c>
      <c r="B1792">
        <v>6</v>
      </c>
      <c r="C1792" s="56" t="s">
        <v>0</v>
      </c>
      <c r="D1792">
        <v>2018</v>
      </c>
      <c r="E1792">
        <v>37</v>
      </c>
      <c r="F1792" s="57">
        <v>4.3600000000000003</v>
      </c>
      <c r="G1792">
        <v>9</v>
      </c>
      <c r="H1792" s="58">
        <v>-13.2258</v>
      </c>
      <c r="I1792" s="57">
        <v>45.6952</v>
      </c>
      <c r="J1792" s="58" t="s">
        <v>1</v>
      </c>
      <c r="K1792">
        <v>4.0999999999999996</v>
      </c>
      <c r="L1792" s="26"/>
      <c r="M1792" s="58">
        <v>80</v>
      </c>
      <c r="N1792" s="59" t="s">
        <v>241</v>
      </c>
      <c r="O1792" s="61" t="s">
        <v>1439</v>
      </c>
    </row>
    <row r="1793" spans="1:15" ht="60" x14ac:dyDescent="0.25">
      <c r="A1793">
        <v>10138</v>
      </c>
      <c r="B1793">
        <v>6</v>
      </c>
      <c r="C1793" s="56" t="s">
        <v>0</v>
      </c>
      <c r="D1793">
        <v>2018</v>
      </c>
      <c r="E1793">
        <v>41</v>
      </c>
      <c r="F1793" s="57">
        <v>52.64</v>
      </c>
      <c r="G1793">
        <v>9</v>
      </c>
      <c r="H1793" s="58">
        <v>-27.206499999999998</v>
      </c>
      <c r="I1793" s="57">
        <v>26.8429</v>
      </c>
      <c r="J1793" s="58" t="s">
        <v>1</v>
      </c>
      <c r="K1793">
        <v>3.9</v>
      </c>
      <c r="L1793" s="26"/>
      <c r="M1793" s="58">
        <v>128</v>
      </c>
      <c r="N1793" s="59" t="s">
        <v>6</v>
      </c>
      <c r="O1793" s="61" t="s">
        <v>1494</v>
      </c>
    </row>
    <row r="1794" spans="1:15" ht="45" x14ac:dyDescent="0.25">
      <c r="A1794">
        <v>10139</v>
      </c>
      <c r="B1794">
        <v>6</v>
      </c>
      <c r="C1794" s="56" t="s">
        <v>0</v>
      </c>
      <c r="D1794">
        <v>2018</v>
      </c>
      <c r="E1794">
        <v>21</v>
      </c>
      <c r="F1794" s="57">
        <v>30.33</v>
      </c>
      <c r="G1794">
        <v>17</v>
      </c>
      <c r="H1794" s="58">
        <v>-16.4786</v>
      </c>
      <c r="I1794" s="57">
        <v>11.001099999999999</v>
      </c>
      <c r="J1794" s="58" t="s">
        <v>1</v>
      </c>
      <c r="K1794">
        <v>4</v>
      </c>
      <c r="L1794" s="26"/>
      <c r="M1794" s="58">
        <v>125</v>
      </c>
      <c r="N1794" s="59" t="s">
        <v>63</v>
      </c>
      <c r="O1794" s="61" t="s">
        <v>886</v>
      </c>
    </row>
    <row r="1795" spans="1:15" ht="60" x14ac:dyDescent="0.25">
      <c r="A1795">
        <v>10140</v>
      </c>
      <c r="B1795" s="8">
        <v>6</v>
      </c>
      <c r="C1795" s="56" t="s">
        <v>0</v>
      </c>
      <c r="D1795">
        <v>2018</v>
      </c>
      <c r="E1795" s="8">
        <v>46</v>
      </c>
      <c r="F1795" s="9">
        <v>27.51</v>
      </c>
      <c r="G1795" s="8">
        <v>17</v>
      </c>
      <c r="H1795" s="11">
        <v>6.3042999999999996</v>
      </c>
      <c r="I1795" s="9">
        <v>-6.0842000000000001</v>
      </c>
      <c r="J1795" s="11" t="s">
        <v>1</v>
      </c>
      <c r="K1795" s="8"/>
      <c r="L1795" s="11">
        <v>3.6</v>
      </c>
      <c r="M1795" s="11">
        <v>164</v>
      </c>
      <c r="N1795" s="12" t="s">
        <v>1470</v>
      </c>
      <c r="O1795" s="13" t="s">
        <v>1495</v>
      </c>
    </row>
    <row r="1796" spans="1:15" ht="60" x14ac:dyDescent="0.25">
      <c r="A1796">
        <v>10141</v>
      </c>
      <c r="B1796">
        <v>6</v>
      </c>
      <c r="C1796" s="56" t="s">
        <v>0</v>
      </c>
      <c r="D1796">
        <v>2018</v>
      </c>
      <c r="E1796">
        <v>4</v>
      </c>
      <c r="F1796" s="57">
        <v>5.35</v>
      </c>
      <c r="G1796">
        <v>20</v>
      </c>
      <c r="H1796" s="58">
        <v>-13.550700000000001</v>
      </c>
      <c r="I1796" s="57">
        <v>45.695999999999998</v>
      </c>
      <c r="J1796" s="58" t="s">
        <v>1</v>
      </c>
      <c r="K1796">
        <v>3.9</v>
      </c>
      <c r="L1796" s="26"/>
      <c r="M1796" s="58">
        <v>100</v>
      </c>
      <c r="N1796" s="59" t="s">
        <v>241</v>
      </c>
      <c r="O1796" s="61" t="s">
        <v>1439</v>
      </c>
    </row>
    <row r="1797" spans="1:15" ht="75" x14ac:dyDescent="0.25">
      <c r="A1797">
        <v>10142</v>
      </c>
      <c r="B1797">
        <v>6</v>
      </c>
      <c r="C1797" s="56" t="s">
        <v>0</v>
      </c>
      <c r="D1797">
        <v>2018</v>
      </c>
      <c r="E1797">
        <v>27</v>
      </c>
      <c r="F1797" s="57">
        <v>46.07</v>
      </c>
      <c r="G1797">
        <v>22</v>
      </c>
      <c r="H1797" s="58">
        <v>-29.4084</v>
      </c>
      <c r="I1797" s="57">
        <v>25.017900000000001</v>
      </c>
      <c r="J1797" s="58" t="s">
        <v>1</v>
      </c>
      <c r="K1797">
        <v>4.0999999999999996</v>
      </c>
      <c r="L1797" s="26"/>
      <c r="M1797" s="58">
        <v>103</v>
      </c>
      <c r="N1797" s="59" t="s">
        <v>6</v>
      </c>
      <c r="O1797" s="61" t="s">
        <v>1496</v>
      </c>
    </row>
    <row r="1798" spans="1:15" ht="60" x14ac:dyDescent="0.25">
      <c r="A1798">
        <v>10143</v>
      </c>
      <c r="B1798">
        <v>7</v>
      </c>
      <c r="C1798" s="56" t="s">
        <v>0</v>
      </c>
      <c r="D1798">
        <v>2018</v>
      </c>
      <c r="E1798">
        <v>10</v>
      </c>
      <c r="F1798" s="57">
        <v>25.9</v>
      </c>
      <c r="G1798">
        <v>0</v>
      </c>
      <c r="H1798" s="58">
        <v>-14.0778</v>
      </c>
      <c r="I1798" s="57">
        <v>46.055599999999998</v>
      </c>
      <c r="J1798" s="58" t="s">
        <v>1</v>
      </c>
      <c r="K1798">
        <v>3.8</v>
      </c>
      <c r="L1798" s="26"/>
      <c r="M1798" s="58">
        <v>95</v>
      </c>
      <c r="N1798" s="59" t="s">
        <v>177</v>
      </c>
      <c r="O1798" s="61" t="s">
        <v>895</v>
      </c>
    </row>
    <row r="1799" spans="1:15" ht="45" x14ac:dyDescent="0.25">
      <c r="A1799">
        <v>10144</v>
      </c>
      <c r="B1799">
        <v>7</v>
      </c>
      <c r="C1799" s="56" t="s">
        <v>0</v>
      </c>
      <c r="D1799">
        <v>2018</v>
      </c>
      <c r="E1799">
        <v>51</v>
      </c>
      <c r="F1799" s="57">
        <v>51.53</v>
      </c>
      <c r="G1799">
        <v>1</v>
      </c>
      <c r="H1799" s="58">
        <v>22.019100000000002</v>
      </c>
      <c r="I1799" s="57">
        <v>15.8012</v>
      </c>
      <c r="J1799" s="58" t="s">
        <v>1</v>
      </c>
      <c r="K1799">
        <v>4</v>
      </c>
      <c r="L1799" s="26">
        <v>3.8</v>
      </c>
      <c r="M1799" s="58">
        <v>113</v>
      </c>
      <c r="N1799" s="59" t="s">
        <v>139</v>
      </c>
      <c r="O1799" s="61" t="s">
        <v>1497</v>
      </c>
    </row>
    <row r="1800" spans="1:15" ht="60" x14ac:dyDescent="0.25">
      <c r="A1800">
        <v>10145</v>
      </c>
      <c r="B1800">
        <v>7</v>
      </c>
      <c r="C1800" s="56" t="s">
        <v>0</v>
      </c>
      <c r="D1800">
        <v>2018</v>
      </c>
      <c r="E1800">
        <v>28</v>
      </c>
      <c r="F1800" s="57">
        <v>19.07</v>
      </c>
      <c r="G1800">
        <v>4</v>
      </c>
      <c r="H1800" s="58">
        <v>31.222000000000001</v>
      </c>
      <c r="I1800" s="57">
        <v>6.9351000000000003</v>
      </c>
      <c r="J1800" s="58" t="s">
        <v>1498</v>
      </c>
      <c r="K1800">
        <v>3.5</v>
      </c>
      <c r="L1800" s="26"/>
      <c r="M1800" s="58">
        <v>112</v>
      </c>
      <c r="N1800" s="59" t="s">
        <v>10</v>
      </c>
      <c r="O1800" s="61" t="s">
        <v>1499</v>
      </c>
    </row>
    <row r="1801" spans="1:15" ht="45" x14ac:dyDescent="0.25">
      <c r="A1801">
        <v>10146</v>
      </c>
      <c r="B1801" s="8">
        <v>7</v>
      </c>
      <c r="C1801" s="56" t="s">
        <v>0</v>
      </c>
      <c r="D1801">
        <v>2018</v>
      </c>
      <c r="E1801" s="8">
        <v>40</v>
      </c>
      <c r="F1801" s="9">
        <v>47.51</v>
      </c>
      <c r="G1801" s="8">
        <v>7</v>
      </c>
      <c r="H1801" s="11">
        <v>5.3254000000000001</v>
      </c>
      <c r="I1801" s="9">
        <v>3.6766000000000001</v>
      </c>
      <c r="J1801" s="11" t="s">
        <v>1</v>
      </c>
      <c r="K1801" s="8">
        <v>3.8</v>
      </c>
      <c r="L1801" s="11">
        <v>3.1</v>
      </c>
      <c r="M1801" s="11">
        <v>3</v>
      </c>
      <c r="N1801" s="12" t="s">
        <v>1470</v>
      </c>
      <c r="O1801" s="13" t="s">
        <v>940</v>
      </c>
    </row>
    <row r="1802" spans="1:15" ht="75" x14ac:dyDescent="0.25">
      <c r="A1802">
        <v>10147</v>
      </c>
      <c r="B1802">
        <v>7</v>
      </c>
      <c r="C1802" s="56" t="s">
        <v>0</v>
      </c>
      <c r="D1802">
        <v>2018</v>
      </c>
      <c r="E1802">
        <v>45</v>
      </c>
      <c r="F1802" s="57">
        <v>0.25</v>
      </c>
      <c r="G1802">
        <v>11</v>
      </c>
      <c r="H1802" s="58">
        <v>-23.575700000000001</v>
      </c>
      <c r="I1802" s="57">
        <v>28.436800000000002</v>
      </c>
      <c r="J1802" s="58" t="s">
        <v>1</v>
      </c>
      <c r="K1802">
        <v>4.4000000000000004</v>
      </c>
      <c r="L1802" s="26">
        <v>2.9</v>
      </c>
      <c r="M1802" s="58">
        <v>118</v>
      </c>
      <c r="N1802" s="59" t="s">
        <v>6</v>
      </c>
      <c r="O1802" s="61" t="s">
        <v>1500</v>
      </c>
    </row>
    <row r="1803" spans="1:15" ht="60" x14ac:dyDescent="0.25">
      <c r="A1803">
        <v>10148</v>
      </c>
      <c r="B1803">
        <v>7</v>
      </c>
      <c r="C1803" s="56" t="s">
        <v>0</v>
      </c>
      <c r="D1803">
        <v>2018</v>
      </c>
      <c r="E1803">
        <v>6</v>
      </c>
      <c r="F1803" s="57">
        <v>54.18</v>
      </c>
      <c r="G1803">
        <v>13</v>
      </c>
      <c r="H1803" s="58">
        <v>-13.442299999999999</v>
      </c>
      <c r="I1803" s="57">
        <v>46.124499999999998</v>
      </c>
      <c r="J1803" s="58" t="s">
        <v>1</v>
      </c>
      <c r="K1803">
        <v>4</v>
      </c>
      <c r="L1803" s="26"/>
      <c r="M1803" s="58">
        <v>134</v>
      </c>
      <c r="N1803" s="59" t="s">
        <v>241</v>
      </c>
      <c r="O1803" s="61" t="s">
        <v>1439</v>
      </c>
    </row>
    <row r="1804" spans="1:15" ht="60" x14ac:dyDescent="0.25">
      <c r="A1804">
        <v>10149</v>
      </c>
      <c r="B1804">
        <v>7</v>
      </c>
      <c r="C1804" s="56" t="s">
        <v>0</v>
      </c>
      <c r="D1804">
        <v>2018</v>
      </c>
      <c r="E1804">
        <v>26</v>
      </c>
      <c r="F1804" s="57">
        <v>20.86</v>
      </c>
      <c r="G1804">
        <v>13</v>
      </c>
      <c r="H1804" s="58">
        <v>-36.746499999999997</v>
      </c>
      <c r="I1804" s="57">
        <v>1.7652000000000001</v>
      </c>
      <c r="J1804" s="58" t="s">
        <v>1</v>
      </c>
      <c r="K1804">
        <v>4.2</v>
      </c>
      <c r="L1804" s="26"/>
      <c r="M1804" s="58">
        <v>97</v>
      </c>
      <c r="N1804" s="59" t="s">
        <v>885</v>
      </c>
      <c r="O1804" s="61" t="s">
        <v>1107</v>
      </c>
    </row>
    <row r="1805" spans="1:15" ht="60" x14ac:dyDescent="0.25">
      <c r="A1805">
        <v>10150</v>
      </c>
      <c r="B1805">
        <v>7</v>
      </c>
      <c r="C1805" s="56" t="s">
        <v>0</v>
      </c>
      <c r="D1805">
        <v>2018</v>
      </c>
      <c r="E1805">
        <v>26</v>
      </c>
      <c r="F1805" s="57">
        <v>55.62</v>
      </c>
      <c r="G1805">
        <v>14</v>
      </c>
      <c r="H1805" s="58">
        <v>-28.468499999999999</v>
      </c>
      <c r="I1805" s="57">
        <v>25.191700000000001</v>
      </c>
      <c r="J1805" s="58" t="s">
        <v>1</v>
      </c>
      <c r="K1805">
        <v>4.3</v>
      </c>
      <c r="L1805" s="26"/>
      <c r="M1805" s="58">
        <v>159</v>
      </c>
      <c r="N1805" s="59" t="s">
        <v>6</v>
      </c>
      <c r="O1805" s="61" t="s">
        <v>1041</v>
      </c>
    </row>
    <row r="1806" spans="1:15" ht="60" x14ac:dyDescent="0.25">
      <c r="A1806">
        <v>10151</v>
      </c>
      <c r="B1806">
        <v>7</v>
      </c>
      <c r="C1806" s="56" t="s">
        <v>0</v>
      </c>
      <c r="D1806">
        <v>2018</v>
      </c>
      <c r="E1806">
        <v>1</v>
      </c>
      <c r="F1806" s="57">
        <v>42.62</v>
      </c>
      <c r="G1806">
        <v>20</v>
      </c>
      <c r="H1806" s="58">
        <v>-13.480600000000001</v>
      </c>
      <c r="I1806" s="57">
        <v>45.7134</v>
      </c>
      <c r="J1806" s="58" t="s">
        <v>1</v>
      </c>
      <c r="K1806">
        <v>3.9</v>
      </c>
      <c r="L1806" s="26"/>
      <c r="M1806" s="58">
        <v>178</v>
      </c>
      <c r="N1806" s="59" t="s">
        <v>241</v>
      </c>
      <c r="O1806" s="61" t="s">
        <v>1439</v>
      </c>
    </row>
    <row r="1807" spans="1:15" ht="60" x14ac:dyDescent="0.25">
      <c r="A1807">
        <v>10152</v>
      </c>
      <c r="B1807">
        <v>8</v>
      </c>
      <c r="C1807" s="56" t="s">
        <v>0</v>
      </c>
      <c r="D1807">
        <v>2018</v>
      </c>
      <c r="E1807">
        <v>56</v>
      </c>
      <c r="F1807" s="57">
        <v>45.75</v>
      </c>
      <c r="G1807">
        <v>0</v>
      </c>
      <c r="H1807" s="58">
        <v>-13.3223</v>
      </c>
      <c r="I1807" s="57">
        <v>45.629199999999997</v>
      </c>
      <c r="J1807" s="58" t="s">
        <v>1</v>
      </c>
      <c r="K1807">
        <v>4.0999999999999996</v>
      </c>
      <c r="L1807" s="26"/>
      <c r="M1807" s="58">
        <v>85</v>
      </c>
      <c r="N1807" s="59" t="s">
        <v>241</v>
      </c>
      <c r="O1807" s="61" t="s">
        <v>1439</v>
      </c>
    </row>
    <row r="1808" spans="1:15" ht="60" x14ac:dyDescent="0.25">
      <c r="A1808">
        <v>10153</v>
      </c>
      <c r="B1808">
        <v>8</v>
      </c>
      <c r="C1808" s="56" t="s">
        <v>0</v>
      </c>
      <c r="D1808">
        <v>2018</v>
      </c>
      <c r="E1808">
        <v>15</v>
      </c>
      <c r="F1808" s="57">
        <v>51.34</v>
      </c>
      <c r="G1808">
        <v>2</v>
      </c>
      <c r="H1808" s="58">
        <v>35.302199999999999</v>
      </c>
      <c r="I1808" s="57">
        <v>6.2973999999999997</v>
      </c>
      <c r="J1808" s="58" t="s">
        <v>1</v>
      </c>
      <c r="K1808">
        <v>3.5</v>
      </c>
      <c r="L1808" s="26">
        <v>3.5</v>
      </c>
      <c r="M1808" s="58">
        <v>65</v>
      </c>
      <c r="N1808" s="59" t="s">
        <v>10</v>
      </c>
      <c r="O1808" s="61" t="s">
        <v>1501</v>
      </c>
    </row>
    <row r="1809" spans="1:15" ht="60" x14ac:dyDescent="0.25">
      <c r="A1809">
        <v>10154</v>
      </c>
      <c r="B1809">
        <v>8</v>
      </c>
      <c r="C1809" s="56" t="s">
        <v>0</v>
      </c>
      <c r="D1809">
        <v>2018</v>
      </c>
      <c r="E1809">
        <v>31</v>
      </c>
      <c r="F1809" s="57">
        <v>32.090000000000003</v>
      </c>
      <c r="G1809">
        <v>3</v>
      </c>
      <c r="H1809" s="58">
        <v>-13.570600000000001</v>
      </c>
      <c r="I1809" s="57">
        <v>45.7819</v>
      </c>
      <c r="J1809" s="58" t="s">
        <v>1</v>
      </c>
      <c r="K1809">
        <v>4.2</v>
      </c>
      <c r="L1809" s="26"/>
      <c r="M1809" s="58">
        <v>44</v>
      </c>
      <c r="N1809" s="59" t="s">
        <v>241</v>
      </c>
      <c r="O1809" s="61" t="s">
        <v>1439</v>
      </c>
    </row>
    <row r="1810" spans="1:15" ht="60" x14ac:dyDescent="0.25">
      <c r="A1810">
        <v>10155</v>
      </c>
      <c r="B1810">
        <v>8</v>
      </c>
      <c r="C1810" s="56" t="s">
        <v>0</v>
      </c>
      <c r="D1810">
        <v>2018</v>
      </c>
      <c r="E1810">
        <v>30</v>
      </c>
      <c r="F1810" s="57">
        <v>54.25</v>
      </c>
      <c r="G1810">
        <v>5</v>
      </c>
      <c r="H1810" s="58">
        <v>-13.433</v>
      </c>
      <c r="I1810" s="57">
        <v>45.931899999999999</v>
      </c>
      <c r="J1810" s="58" t="s">
        <v>1</v>
      </c>
      <c r="K1810">
        <v>4</v>
      </c>
      <c r="L1810" s="26"/>
      <c r="M1810" s="58">
        <v>145</v>
      </c>
      <c r="N1810" s="59" t="s">
        <v>241</v>
      </c>
      <c r="O1810" s="61" t="s">
        <v>1439</v>
      </c>
    </row>
    <row r="1811" spans="1:15" ht="60" x14ac:dyDescent="0.25">
      <c r="A1811">
        <v>10156</v>
      </c>
      <c r="B1811">
        <v>8</v>
      </c>
      <c r="C1811" s="56" t="s">
        <v>0</v>
      </c>
      <c r="D1811">
        <v>2018</v>
      </c>
      <c r="E1811">
        <v>23</v>
      </c>
      <c r="F1811" s="57">
        <v>36.51</v>
      </c>
      <c r="G1811">
        <v>11</v>
      </c>
      <c r="H1811" s="58">
        <v>-13.804500000000001</v>
      </c>
      <c r="I1811" s="57">
        <v>45.908099999999997</v>
      </c>
      <c r="J1811" s="58" t="s">
        <v>1</v>
      </c>
      <c r="K1811">
        <v>4</v>
      </c>
      <c r="L1811" s="26"/>
      <c r="M1811" s="58">
        <v>37</v>
      </c>
      <c r="N1811" s="59" t="s">
        <v>241</v>
      </c>
      <c r="O1811" s="61" t="s">
        <v>1439</v>
      </c>
    </row>
    <row r="1812" spans="1:15" ht="60" x14ac:dyDescent="0.25">
      <c r="A1812">
        <v>10157</v>
      </c>
      <c r="B1812">
        <v>8</v>
      </c>
      <c r="C1812" s="56" t="s">
        <v>0</v>
      </c>
      <c r="D1812">
        <v>2018</v>
      </c>
      <c r="E1812">
        <v>3</v>
      </c>
      <c r="F1812" s="57">
        <v>30.44</v>
      </c>
      <c r="G1812">
        <v>12</v>
      </c>
      <c r="H1812" s="58">
        <v>-13.3081</v>
      </c>
      <c r="I1812" s="57">
        <v>45.851700000000001</v>
      </c>
      <c r="J1812" s="58" t="s">
        <v>1</v>
      </c>
      <c r="K1812">
        <v>4.4000000000000004</v>
      </c>
      <c r="L1812" s="26"/>
      <c r="M1812" s="58">
        <v>7</v>
      </c>
      <c r="N1812" s="59" t="s">
        <v>241</v>
      </c>
      <c r="O1812" s="61" t="s">
        <v>1439</v>
      </c>
    </row>
    <row r="1813" spans="1:15" ht="75" x14ac:dyDescent="0.25">
      <c r="A1813">
        <v>10158</v>
      </c>
      <c r="B1813">
        <v>8</v>
      </c>
      <c r="C1813" s="56" t="s">
        <v>0</v>
      </c>
      <c r="D1813">
        <v>2018</v>
      </c>
      <c r="E1813">
        <v>30</v>
      </c>
      <c r="F1813" s="57">
        <v>5.12</v>
      </c>
      <c r="G1813">
        <v>12</v>
      </c>
      <c r="H1813" s="58">
        <v>29.542000000000002</v>
      </c>
      <c r="I1813" s="57">
        <v>28.889399999999998</v>
      </c>
      <c r="J1813" s="58" t="s">
        <v>1</v>
      </c>
      <c r="K1813">
        <v>4.2</v>
      </c>
      <c r="L1813" s="26">
        <v>3.3</v>
      </c>
      <c r="M1813" s="58">
        <v>97</v>
      </c>
      <c r="N1813" s="59" t="s">
        <v>72</v>
      </c>
      <c r="O1813" s="61" t="s">
        <v>1502</v>
      </c>
    </row>
    <row r="1814" spans="1:15" ht="60" x14ac:dyDescent="0.25">
      <c r="A1814">
        <v>10159</v>
      </c>
      <c r="B1814" s="8">
        <v>8</v>
      </c>
      <c r="C1814" s="56" t="s">
        <v>0</v>
      </c>
      <c r="D1814">
        <v>2018</v>
      </c>
      <c r="E1814" s="8">
        <v>44</v>
      </c>
      <c r="F1814" s="9">
        <v>2.4700000000000002</v>
      </c>
      <c r="G1814" s="8">
        <v>12</v>
      </c>
      <c r="H1814" s="11">
        <v>6.0734000000000004</v>
      </c>
      <c r="I1814" s="9">
        <v>-3.5251000000000001</v>
      </c>
      <c r="J1814" s="11" t="s">
        <v>1</v>
      </c>
      <c r="K1814" s="8">
        <v>4.3</v>
      </c>
      <c r="L1814" s="11"/>
      <c r="M1814" s="11">
        <v>28</v>
      </c>
      <c r="N1814" s="12" t="s">
        <v>1470</v>
      </c>
      <c r="O1814" s="13" t="s">
        <v>1503</v>
      </c>
    </row>
    <row r="1815" spans="1:15" ht="60" x14ac:dyDescent="0.25">
      <c r="A1815">
        <v>10160</v>
      </c>
      <c r="B1815">
        <v>8</v>
      </c>
      <c r="C1815" s="56" t="s">
        <v>0</v>
      </c>
      <c r="D1815">
        <v>2018</v>
      </c>
      <c r="E1815">
        <v>26</v>
      </c>
      <c r="F1815" s="57">
        <v>59.36</v>
      </c>
      <c r="G1815">
        <v>19</v>
      </c>
      <c r="H1815" s="58">
        <v>31.5778</v>
      </c>
      <c r="I1815" s="57">
        <v>20.618099999999998</v>
      </c>
      <c r="J1815" s="58" t="s">
        <v>1</v>
      </c>
      <c r="K1815">
        <v>4.3</v>
      </c>
      <c r="L1815" s="26">
        <v>3.5</v>
      </c>
      <c r="M1815" s="58">
        <v>124</v>
      </c>
      <c r="N1815" s="59" t="s">
        <v>1504</v>
      </c>
      <c r="O1815" s="61" t="s">
        <v>1505</v>
      </c>
    </row>
    <row r="1816" spans="1:15" ht="60" x14ac:dyDescent="0.25">
      <c r="A1816">
        <v>10161</v>
      </c>
      <c r="B1816">
        <v>8</v>
      </c>
      <c r="C1816" s="56" t="s">
        <v>0</v>
      </c>
      <c r="D1816">
        <v>2018</v>
      </c>
      <c r="E1816">
        <v>34</v>
      </c>
      <c r="F1816" s="57">
        <v>50.27</v>
      </c>
      <c r="G1816">
        <v>22</v>
      </c>
      <c r="H1816" s="58">
        <v>-13.2935</v>
      </c>
      <c r="I1816" s="57">
        <v>46.435600000000001</v>
      </c>
      <c r="J1816" s="58" t="s">
        <v>1</v>
      </c>
      <c r="K1816">
        <v>4.0999999999999996</v>
      </c>
      <c r="L1816" s="26"/>
      <c r="M1816" s="58">
        <v>40</v>
      </c>
      <c r="N1816" s="59" t="s">
        <v>241</v>
      </c>
      <c r="O1816" s="61" t="s">
        <v>1439</v>
      </c>
    </row>
    <row r="1817" spans="1:15" ht="60" x14ac:dyDescent="0.25">
      <c r="A1817">
        <v>10162</v>
      </c>
      <c r="B1817">
        <v>9</v>
      </c>
      <c r="C1817" s="56" t="s">
        <v>0</v>
      </c>
      <c r="D1817">
        <v>2018</v>
      </c>
      <c r="E1817">
        <v>35</v>
      </c>
      <c r="F1817" s="57">
        <v>9.24</v>
      </c>
      <c r="G1817">
        <v>22</v>
      </c>
      <c r="H1817" s="58">
        <v>-0.1643</v>
      </c>
      <c r="I1817" s="57">
        <v>-4.4531999999999998</v>
      </c>
      <c r="J1817" s="58" t="s">
        <v>1</v>
      </c>
      <c r="K1817">
        <v>4.3</v>
      </c>
      <c r="L1817" s="26">
        <v>2.7</v>
      </c>
      <c r="M1817" s="58">
        <v>117</v>
      </c>
      <c r="N1817" s="59" t="s">
        <v>885</v>
      </c>
      <c r="O1817" s="61" t="s">
        <v>1506</v>
      </c>
    </row>
    <row r="1818" spans="1:15" ht="60" x14ac:dyDescent="0.25">
      <c r="A1818">
        <v>10163</v>
      </c>
      <c r="B1818">
        <v>9</v>
      </c>
      <c r="C1818" s="56" t="s">
        <v>0</v>
      </c>
      <c r="D1818">
        <v>2018</v>
      </c>
      <c r="E1818">
        <v>36</v>
      </c>
      <c r="F1818" s="57">
        <v>34.909999999999997</v>
      </c>
      <c r="G1818">
        <v>22</v>
      </c>
      <c r="H1818" s="58">
        <v>-13.403700000000001</v>
      </c>
      <c r="I1818" s="57">
        <v>45.996499999999997</v>
      </c>
      <c r="J1818" s="58" t="s">
        <v>1</v>
      </c>
      <c r="K1818">
        <v>4.4000000000000004</v>
      </c>
      <c r="L1818" s="26"/>
      <c r="M1818" s="58">
        <v>150</v>
      </c>
      <c r="N1818" s="59" t="s">
        <v>241</v>
      </c>
      <c r="O1818" s="61" t="s">
        <v>1439</v>
      </c>
    </row>
    <row r="1819" spans="1:15" ht="60" x14ac:dyDescent="0.25">
      <c r="A1819">
        <v>10164</v>
      </c>
      <c r="B1819">
        <v>9</v>
      </c>
      <c r="C1819" s="56" t="s">
        <v>0</v>
      </c>
      <c r="D1819">
        <v>2018</v>
      </c>
      <c r="E1819">
        <v>36</v>
      </c>
      <c r="F1819" s="57">
        <v>50.42</v>
      </c>
      <c r="G1819">
        <v>22</v>
      </c>
      <c r="H1819" s="58">
        <v>-11.472799999999999</v>
      </c>
      <c r="I1819" s="57">
        <v>43.7256</v>
      </c>
      <c r="J1819" s="58" t="s">
        <v>1</v>
      </c>
      <c r="K1819">
        <v>4.3</v>
      </c>
      <c r="L1819" s="26"/>
      <c r="M1819" s="58">
        <v>110</v>
      </c>
      <c r="N1819" s="59" t="s">
        <v>241</v>
      </c>
      <c r="O1819" s="61" t="s">
        <v>1491</v>
      </c>
    </row>
    <row r="1820" spans="1:15" ht="60" x14ac:dyDescent="0.25">
      <c r="A1820">
        <v>10165</v>
      </c>
      <c r="B1820">
        <v>10</v>
      </c>
      <c r="C1820" s="56" t="s">
        <v>0</v>
      </c>
      <c r="D1820">
        <v>2018</v>
      </c>
      <c r="E1820">
        <v>9</v>
      </c>
      <c r="F1820" s="57">
        <v>8.2799999999999994</v>
      </c>
      <c r="G1820">
        <v>4</v>
      </c>
      <c r="H1820" s="58">
        <v>-13.7264</v>
      </c>
      <c r="I1820" s="57">
        <v>46.237299999999998</v>
      </c>
      <c r="J1820" s="58" t="s">
        <v>1</v>
      </c>
      <c r="K1820">
        <v>3.8</v>
      </c>
      <c r="L1820" s="26"/>
      <c r="M1820" s="58">
        <v>47</v>
      </c>
      <c r="N1820" s="59" t="s">
        <v>241</v>
      </c>
      <c r="O1820" s="61" t="s">
        <v>1439</v>
      </c>
    </row>
    <row r="1821" spans="1:15" ht="60" x14ac:dyDescent="0.25">
      <c r="A1821">
        <v>10166</v>
      </c>
      <c r="B1821">
        <v>10</v>
      </c>
      <c r="C1821" s="56" t="s">
        <v>0</v>
      </c>
      <c r="D1821">
        <v>2018</v>
      </c>
      <c r="E1821">
        <v>24</v>
      </c>
      <c r="F1821" s="57">
        <v>36.229999999999997</v>
      </c>
      <c r="G1821">
        <v>6</v>
      </c>
      <c r="H1821" s="58">
        <v>-15.055999999999999</v>
      </c>
      <c r="I1821" s="57">
        <v>46.450600000000001</v>
      </c>
      <c r="J1821" s="58" t="s">
        <v>1</v>
      </c>
      <c r="K1821">
        <v>3.7</v>
      </c>
      <c r="L1821" s="26"/>
      <c r="M1821" s="58">
        <v>163</v>
      </c>
      <c r="N1821" s="59" t="s">
        <v>177</v>
      </c>
      <c r="O1821" s="61" t="s">
        <v>895</v>
      </c>
    </row>
    <row r="1822" spans="1:15" ht="60" x14ac:dyDescent="0.25">
      <c r="A1822">
        <v>10167</v>
      </c>
      <c r="B1822" s="8">
        <v>10</v>
      </c>
      <c r="C1822" s="56" t="s">
        <v>0</v>
      </c>
      <c r="D1822">
        <v>2018</v>
      </c>
      <c r="E1822" s="8">
        <v>26</v>
      </c>
      <c r="F1822" s="9">
        <v>33.17</v>
      </c>
      <c r="G1822" s="8">
        <v>7</v>
      </c>
      <c r="H1822" s="11">
        <v>6.5498000000000003</v>
      </c>
      <c r="I1822" s="9">
        <v>-4.9459</v>
      </c>
      <c r="J1822" s="11" t="s">
        <v>1</v>
      </c>
      <c r="K1822" s="8">
        <v>4</v>
      </c>
      <c r="L1822" s="11"/>
      <c r="M1822" s="11">
        <v>36</v>
      </c>
      <c r="N1822" s="12" t="s">
        <v>1470</v>
      </c>
      <c r="O1822" s="13" t="s">
        <v>1507</v>
      </c>
    </row>
    <row r="1823" spans="1:15" ht="60" x14ac:dyDescent="0.25">
      <c r="A1823">
        <v>10168</v>
      </c>
      <c r="B1823">
        <v>10</v>
      </c>
      <c r="C1823" s="56" t="s">
        <v>0</v>
      </c>
      <c r="D1823">
        <v>2018</v>
      </c>
      <c r="E1823">
        <v>58</v>
      </c>
      <c r="F1823" s="57">
        <v>23.53</v>
      </c>
      <c r="G1823">
        <v>9</v>
      </c>
      <c r="H1823" s="58">
        <v>-23.266500000000001</v>
      </c>
      <c r="I1823" s="57">
        <v>27.3171</v>
      </c>
      <c r="J1823" s="58" t="s">
        <v>1</v>
      </c>
      <c r="K1823">
        <v>4.4000000000000004</v>
      </c>
      <c r="L1823" s="26">
        <v>3.6</v>
      </c>
      <c r="M1823" s="58">
        <v>105</v>
      </c>
      <c r="N1823" s="59" t="s">
        <v>6</v>
      </c>
      <c r="O1823" s="61" t="s">
        <v>1508</v>
      </c>
    </row>
    <row r="1824" spans="1:15" ht="60" x14ac:dyDescent="0.25">
      <c r="A1824">
        <v>10169</v>
      </c>
      <c r="B1824">
        <v>10</v>
      </c>
      <c r="C1824" s="56" t="s">
        <v>0</v>
      </c>
      <c r="D1824">
        <v>2018</v>
      </c>
      <c r="E1824">
        <v>14</v>
      </c>
      <c r="F1824" s="57">
        <v>47.63</v>
      </c>
      <c r="G1824">
        <v>12</v>
      </c>
      <c r="H1824" s="58">
        <v>-13.7098</v>
      </c>
      <c r="I1824" s="57">
        <v>46.203699999999998</v>
      </c>
      <c r="J1824" s="58" t="s">
        <v>1</v>
      </c>
      <c r="K1824">
        <v>4</v>
      </c>
      <c r="L1824" s="26"/>
      <c r="M1824" s="58">
        <v>171</v>
      </c>
      <c r="N1824" s="59" t="s">
        <v>241</v>
      </c>
      <c r="O1824" s="61" t="s">
        <v>895</v>
      </c>
    </row>
    <row r="1825" spans="1:15" ht="60" x14ac:dyDescent="0.25">
      <c r="A1825">
        <v>10170</v>
      </c>
      <c r="B1825">
        <v>10</v>
      </c>
      <c r="C1825" s="56" t="s">
        <v>0</v>
      </c>
      <c r="D1825">
        <v>2018</v>
      </c>
      <c r="E1825">
        <v>41</v>
      </c>
      <c r="F1825" s="57">
        <v>17.72</v>
      </c>
      <c r="G1825">
        <v>12</v>
      </c>
      <c r="H1825" s="58">
        <v>-28.937000000000001</v>
      </c>
      <c r="I1825" s="57">
        <v>23.679500000000001</v>
      </c>
      <c r="J1825" s="58" t="s">
        <v>1</v>
      </c>
      <c r="K1825">
        <v>4.3</v>
      </c>
      <c r="L1825" s="26"/>
      <c r="M1825" s="58">
        <v>157</v>
      </c>
      <c r="N1825" s="59" t="s">
        <v>6</v>
      </c>
      <c r="O1825" s="61" t="s">
        <v>1509</v>
      </c>
    </row>
    <row r="1826" spans="1:15" ht="60" x14ac:dyDescent="0.25">
      <c r="A1826">
        <v>10171</v>
      </c>
      <c r="B1826">
        <v>10</v>
      </c>
      <c r="C1826" s="56" t="s">
        <v>0</v>
      </c>
      <c r="D1826">
        <v>2018</v>
      </c>
      <c r="E1826">
        <v>4</v>
      </c>
      <c r="F1826" s="57">
        <v>35.770000000000003</v>
      </c>
      <c r="G1826">
        <v>13</v>
      </c>
      <c r="H1826" s="58">
        <v>-13.188599999999999</v>
      </c>
      <c r="I1826" s="57">
        <v>45.738300000000002</v>
      </c>
      <c r="J1826" s="58" t="s">
        <v>1</v>
      </c>
      <c r="K1826">
        <v>4</v>
      </c>
      <c r="L1826" s="26"/>
      <c r="M1826" s="58">
        <v>162</v>
      </c>
      <c r="N1826" s="59" t="s">
        <v>241</v>
      </c>
      <c r="O1826" s="61" t="s">
        <v>1439</v>
      </c>
    </row>
    <row r="1827" spans="1:15" ht="90" x14ac:dyDescent="0.25">
      <c r="A1827">
        <v>10172</v>
      </c>
      <c r="B1827" s="8">
        <v>10</v>
      </c>
      <c r="C1827" s="56" t="s">
        <v>0</v>
      </c>
      <c r="D1827">
        <v>2018</v>
      </c>
      <c r="E1827" s="8">
        <v>11</v>
      </c>
      <c r="F1827" s="9">
        <v>36.44</v>
      </c>
      <c r="G1827" s="8">
        <v>17</v>
      </c>
      <c r="H1827" s="11">
        <v>0.92820000000000003</v>
      </c>
      <c r="I1827" s="9">
        <v>-0.13719999999999999</v>
      </c>
      <c r="J1827" s="11" t="s">
        <v>1</v>
      </c>
      <c r="K1827" s="8">
        <v>3.8</v>
      </c>
      <c r="L1827" s="11">
        <v>2.6</v>
      </c>
      <c r="M1827" s="11">
        <v>131</v>
      </c>
      <c r="N1827" s="12" t="s">
        <v>1510</v>
      </c>
      <c r="O1827" s="13" t="s">
        <v>1511</v>
      </c>
    </row>
    <row r="1828" spans="1:15" ht="60" x14ac:dyDescent="0.25">
      <c r="A1828">
        <v>10173</v>
      </c>
      <c r="B1828">
        <v>10</v>
      </c>
      <c r="C1828" s="56" t="s">
        <v>0</v>
      </c>
      <c r="D1828">
        <v>2018</v>
      </c>
      <c r="E1828">
        <v>29</v>
      </c>
      <c r="F1828" s="57">
        <v>49.73</v>
      </c>
      <c r="G1828">
        <v>21</v>
      </c>
      <c r="H1828" s="58">
        <v>-27.988900000000001</v>
      </c>
      <c r="I1828" s="57">
        <v>20.828199999999999</v>
      </c>
      <c r="J1828" s="58" t="s">
        <v>1</v>
      </c>
      <c r="K1828">
        <v>4.2</v>
      </c>
      <c r="L1828" s="26">
        <v>2.8</v>
      </c>
      <c r="M1828" s="58">
        <v>20</v>
      </c>
      <c r="N1828" s="59" t="s">
        <v>6</v>
      </c>
      <c r="O1828" s="61" t="s">
        <v>1512</v>
      </c>
    </row>
    <row r="1829" spans="1:15" ht="60" x14ac:dyDescent="0.25">
      <c r="A1829">
        <v>10174</v>
      </c>
      <c r="B1829" s="8">
        <v>11</v>
      </c>
      <c r="C1829" s="56" t="s">
        <v>0</v>
      </c>
      <c r="D1829">
        <v>2018</v>
      </c>
      <c r="E1829" s="8">
        <v>51</v>
      </c>
      <c r="F1829" s="9">
        <v>39.659999999999997</v>
      </c>
      <c r="G1829" s="8">
        <v>12</v>
      </c>
      <c r="H1829" s="11">
        <v>23.937200000000001</v>
      </c>
      <c r="I1829" s="9">
        <v>-10.6296</v>
      </c>
      <c r="J1829" s="11" t="s">
        <v>1</v>
      </c>
      <c r="K1829" s="8"/>
      <c r="L1829" s="8">
        <v>3.8</v>
      </c>
      <c r="M1829" s="11">
        <v>45</v>
      </c>
      <c r="N1829" s="12" t="s">
        <v>663</v>
      </c>
      <c r="O1829" s="13" t="s">
        <v>1034</v>
      </c>
    </row>
    <row r="1830" spans="1:15" ht="60" x14ac:dyDescent="0.25">
      <c r="A1830">
        <v>10175</v>
      </c>
      <c r="B1830">
        <v>11</v>
      </c>
      <c r="C1830" s="56" t="s">
        <v>0</v>
      </c>
      <c r="D1830">
        <v>2018</v>
      </c>
      <c r="E1830">
        <v>26</v>
      </c>
      <c r="F1830" s="57">
        <v>0.86</v>
      </c>
      <c r="G1830">
        <v>21</v>
      </c>
      <c r="H1830" s="58">
        <v>-28.424399999999999</v>
      </c>
      <c r="I1830" s="57">
        <v>23.695699999999999</v>
      </c>
      <c r="J1830" s="58" t="s">
        <v>1</v>
      </c>
      <c r="K1830">
        <v>3.7</v>
      </c>
      <c r="L1830" s="26"/>
      <c r="M1830" s="58">
        <v>38</v>
      </c>
      <c r="N1830" s="59" t="s">
        <v>693</v>
      </c>
      <c r="O1830" s="61" t="s">
        <v>1513</v>
      </c>
    </row>
    <row r="1831" spans="1:15" ht="60" x14ac:dyDescent="0.25">
      <c r="A1831">
        <v>10176</v>
      </c>
      <c r="B1831" s="8">
        <v>12</v>
      </c>
      <c r="C1831" s="56" t="s">
        <v>0</v>
      </c>
      <c r="D1831">
        <v>2018</v>
      </c>
      <c r="E1831" s="8">
        <v>31</v>
      </c>
      <c r="F1831" s="9">
        <v>7.32</v>
      </c>
      <c r="G1831" s="8">
        <v>3</v>
      </c>
      <c r="H1831" s="11">
        <v>7.1452</v>
      </c>
      <c r="I1831" s="9">
        <v>-5.5891000000000002</v>
      </c>
      <c r="J1831" s="11" t="s">
        <v>1</v>
      </c>
      <c r="K1831" s="8">
        <v>4.3</v>
      </c>
      <c r="L1831" s="11"/>
      <c r="M1831" s="11">
        <v>32</v>
      </c>
      <c r="N1831" s="12" t="s">
        <v>663</v>
      </c>
      <c r="O1831" s="13" t="s">
        <v>1514</v>
      </c>
    </row>
    <row r="1832" spans="1:15" ht="60" x14ac:dyDescent="0.25">
      <c r="A1832">
        <v>10177</v>
      </c>
      <c r="B1832" s="8">
        <v>12</v>
      </c>
      <c r="C1832" s="56" t="s">
        <v>0</v>
      </c>
      <c r="D1832">
        <v>2018</v>
      </c>
      <c r="E1832" s="8">
        <v>38</v>
      </c>
      <c r="F1832" s="9">
        <v>37.97</v>
      </c>
      <c r="G1832" s="8">
        <v>6</v>
      </c>
      <c r="H1832" s="11">
        <v>5.7690999999999999</v>
      </c>
      <c r="I1832" s="9">
        <v>-12.196899999999999</v>
      </c>
      <c r="J1832" s="11" t="s">
        <v>1</v>
      </c>
      <c r="K1832" s="8">
        <v>4.0999999999999996</v>
      </c>
      <c r="L1832" s="11">
        <v>2.7</v>
      </c>
      <c r="M1832" s="11">
        <v>165</v>
      </c>
      <c r="N1832" s="12" t="s">
        <v>663</v>
      </c>
      <c r="O1832" s="13" t="s">
        <v>1515</v>
      </c>
    </row>
    <row r="1833" spans="1:15" ht="60" x14ac:dyDescent="0.25">
      <c r="A1833">
        <v>10178</v>
      </c>
      <c r="B1833">
        <v>12</v>
      </c>
      <c r="C1833" s="56" t="s">
        <v>0</v>
      </c>
      <c r="D1833">
        <v>2018</v>
      </c>
      <c r="E1833">
        <v>17</v>
      </c>
      <c r="F1833" s="57">
        <v>16.309999999999999</v>
      </c>
      <c r="G1833">
        <v>17</v>
      </c>
      <c r="H1833" s="58">
        <v>-13.1152</v>
      </c>
      <c r="I1833" s="57">
        <v>45.836199999999998</v>
      </c>
      <c r="J1833" s="58" t="s">
        <v>1</v>
      </c>
      <c r="K1833">
        <v>4.5999999999999996</v>
      </c>
      <c r="L1833" s="26"/>
      <c r="M1833" s="58">
        <v>45</v>
      </c>
      <c r="N1833" s="59" t="s">
        <v>1516</v>
      </c>
      <c r="O1833" s="61" t="s">
        <v>1464</v>
      </c>
    </row>
    <row r="1834" spans="1:15" ht="60" x14ac:dyDescent="0.25">
      <c r="A1834">
        <v>10179</v>
      </c>
      <c r="B1834" s="8">
        <v>12</v>
      </c>
      <c r="C1834" s="56" t="s">
        <v>0</v>
      </c>
      <c r="D1834">
        <v>2018</v>
      </c>
      <c r="E1834" s="8">
        <v>9</v>
      </c>
      <c r="F1834" s="9">
        <v>1.36</v>
      </c>
      <c r="G1834" s="8">
        <v>20</v>
      </c>
      <c r="H1834" s="11">
        <v>6.9142000000000001</v>
      </c>
      <c r="I1834" s="9">
        <v>-6.9142000000000001</v>
      </c>
      <c r="J1834" s="11" t="s">
        <v>1</v>
      </c>
      <c r="K1834" s="8">
        <v>4.3</v>
      </c>
      <c r="L1834" s="11"/>
      <c r="M1834" s="11">
        <v>176</v>
      </c>
      <c r="N1834" s="12" t="s">
        <v>663</v>
      </c>
      <c r="O1834" s="13" t="s">
        <v>1517</v>
      </c>
    </row>
    <row r="1835" spans="1:15" ht="75" x14ac:dyDescent="0.25">
      <c r="A1835">
        <v>10180</v>
      </c>
      <c r="B1835">
        <v>13</v>
      </c>
      <c r="C1835" s="56" t="s">
        <v>0</v>
      </c>
      <c r="D1835">
        <v>2018</v>
      </c>
      <c r="E1835">
        <v>58</v>
      </c>
      <c r="F1835" s="57">
        <v>5.51</v>
      </c>
      <c r="G1835">
        <v>12</v>
      </c>
      <c r="H1835" s="58">
        <v>-28.148</v>
      </c>
      <c r="I1835" s="57">
        <v>23.177199999999999</v>
      </c>
      <c r="J1835" s="58" t="s">
        <v>1</v>
      </c>
      <c r="K1835">
        <v>4.5</v>
      </c>
      <c r="L1835" s="26"/>
      <c r="M1835" s="58">
        <v>22</v>
      </c>
      <c r="N1835" s="59" t="s">
        <v>693</v>
      </c>
      <c r="O1835" s="61" t="s">
        <v>1518</v>
      </c>
    </row>
    <row r="1836" spans="1:15" ht="60" x14ac:dyDescent="0.25">
      <c r="A1836">
        <v>10181</v>
      </c>
      <c r="B1836" s="8">
        <v>13</v>
      </c>
      <c r="C1836" s="56" t="s">
        <v>0</v>
      </c>
      <c r="D1836">
        <v>2018</v>
      </c>
      <c r="E1836" s="8">
        <v>34</v>
      </c>
      <c r="F1836" s="9">
        <v>44.53</v>
      </c>
      <c r="G1836" s="8">
        <v>16</v>
      </c>
      <c r="H1836" s="11">
        <v>23.658799999999999</v>
      </c>
      <c r="I1836" s="9">
        <v>-11.922599999999999</v>
      </c>
      <c r="J1836" s="11" t="s">
        <v>1</v>
      </c>
      <c r="K1836" s="8">
        <v>3.8</v>
      </c>
      <c r="L1836" s="11">
        <v>3.5</v>
      </c>
      <c r="M1836" s="11">
        <v>76</v>
      </c>
      <c r="N1836" s="12" t="s">
        <v>663</v>
      </c>
      <c r="O1836" s="13" t="s">
        <v>1519</v>
      </c>
    </row>
    <row r="1837" spans="1:15" ht="60" x14ac:dyDescent="0.25">
      <c r="A1837">
        <v>10182</v>
      </c>
      <c r="B1837" s="8">
        <v>14</v>
      </c>
      <c r="C1837" s="56" t="s">
        <v>0</v>
      </c>
      <c r="D1837">
        <v>2018</v>
      </c>
      <c r="E1837" s="8">
        <v>46</v>
      </c>
      <c r="F1837" s="9">
        <v>34.43</v>
      </c>
      <c r="G1837" s="8">
        <v>13</v>
      </c>
      <c r="H1837" s="11">
        <v>24.8659</v>
      </c>
      <c r="I1837" s="9">
        <v>-9.4326000000000008</v>
      </c>
      <c r="J1837" s="11" t="s">
        <v>1</v>
      </c>
      <c r="K1837" s="8"/>
      <c r="L1837" s="11">
        <v>3.4</v>
      </c>
      <c r="M1837" s="11">
        <v>52</v>
      </c>
      <c r="N1837" s="12" t="s">
        <v>663</v>
      </c>
      <c r="O1837" s="13" t="s">
        <v>1520</v>
      </c>
    </row>
    <row r="1838" spans="1:15" ht="60" x14ac:dyDescent="0.25">
      <c r="A1838">
        <v>10183</v>
      </c>
      <c r="B1838" s="8">
        <v>14</v>
      </c>
      <c r="C1838" s="56" t="s">
        <v>0</v>
      </c>
      <c r="D1838">
        <v>2018</v>
      </c>
      <c r="E1838" s="8">
        <v>28</v>
      </c>
      <c r="F1838" s="9">
        <v>53.33</v>
      </c>
      <c r="G1838" s="8">
        <v>15</v>
      </c>
      <c r="H1838" s="11">
        <v>7.6017999999999999</v>
      </c>
      <c r="I1838" s="9">
        <v>2.6012</v>
      </c>
      <c r="J1838" s="11" t="s">
        <v>1</v>
      </c>
      <c r="K1838" s="8"/>
      <c r="L1838" s="11">
        <v>2.4</v>
      </c>
      <c r="M1838" s="11">
        <v>77</v>
      </c>
      <c r="N1838" s="12" t="s">
        <v>663</v>
      </c>
      <c r="O1838" s="13" t="s">
        <v>1521</v>
      </c>
    </row>
    <row r="1839" spans="1:15" ht="60" x14ac:dyDescent="0.25">
      <c r="A1839">
        <v>10184</v>
      </c>
      <c r="B1839" s="8">
        <v>14</v>
      </c>
      <c r="C1839" s="56" t="s">
        <v>0</v>
      </c>
      <c r="D1839">
        <v>2018</v>
      </c>
      <c r="E1839" s="8">
        <v>19</v>
      </c>
      <c r="F1839" s="9">
        <v>26.9</v>
      </c>
      <c r="G1839" s="8">
        <v>18</v>
      </c>
      <c r="H1839" s="11">
        <v>9.6983999999999995</v>
      </c>
      <c r="I1839" s="9">
        <v>2.2259000000000002</v>
      </c>
      <c r="J1839" s="11" t="s">
        <v>784</v>
      </c>
      <c r="K1839" s="8">
        <v>4.4000000000000004</v>
      </c>
      <c r="L1839" s="11">
        <v>3.7</v>
      </c>
      <c r="M1839" s="11">
        <v>20</v>
      </c>
      <c r="N1839" s="12" t="s">
        <v>663</v>
      </c>
      <c r="O1839" s="13" t="s">
        <v>1522</v>
      </c>
    </row>
    <row r="1840" spans="1:15" ht="60" x14ac:dyDescent="0.25">
      <c r="A1840">
        <v>10185</v>
      </c>
      <c r="B1840">
        <v>16</v>
      </c>
      <c r="C1840" s="56" t="s">
        <v>0</v>
      </c>
      <c r="D1840">
        <v>2018</v>
      </c>
      <c r="E1840">
        <v>2</v>
      </c>
      <c r="F1840" s="57">
        <v>18.93</v>
      </c>
      <c r="G1840">
        <v>6</v>
      </c>
      <c r="H1840" s="58">
        <v>-13.4618</v>
      </c>
      <c r="I1840" s="57">
        <v>45.764800000000001</v>
      </c>
      <c r="J1840" s="58" t="s">
        <v>1</v>
      </c>
      <c r="K1840">
        <v>4</v>
      </c>
      <c r="L1840" s="26"/>
      <c r="M1840" s="58">
        <v>114</v>
      </c>
      <c r="N1840" s="59" t="s">
        <v>1516</v>
      </c>
      <c r="O1840" s="61" t="s">
        <v>1464</v>
      </c>
    </row>
    <row r="1841" spans="1:15" ht="60" x14ac:dyDescent="0.25">
      <c r="A1841">
        <v>10186</v>
      </c>
      <c r="B1841">
        <v>17</v>
      </c>
      <c r="C1841" s="56" t="s">
        <v>0</v>
      </c>
      <c r="D1841">
        <v>2018</v>
      </c>
      <c r="E1841">
        <v>59</v>
      </c>
      <c r="F1841" s="57">
        <v>20.58</v>
      </c>
      <c r="G1841">
        <v>9</v>
      </c>
      <c r="H1841" s="58">
        <v>22.138300000000001</v>
      </c>
      <c r="I1841" s="57">
        <v>27.828700000000001</v>
      </c>
      <c r="J1841" s="58" t="s">
        <v>1</v>
      </c>
      <c r="K1841">
        <v>3.9</v>
      </c>
      <c r="L1841" s="26"/>
      <c r="M1841" s="58">
        <v>154</v>
      </c>
      <c r="N1841" s="59" t="s">
        <v>72</v>
      </c>
      <c r="O1841" s="61" t="s">
        <v>1523</v>
      </c>
    </row>
    <row r="1842" spans="1:15" ht="45" x14ac:dyDescent="0.25">
      <c r="A1842">
        <v>10187</v>
      </c>
      <c r="B1842">
        <v>18</v>
      </c>
      <c r="C1842" s="56" t="s">
        <v>0</v>
      </c>
      <c r="D1842">
        <v>2018</v>
      </c>
      <c r="E1842">
        <v>30</v>
      </c>
      <c r="F1842" s="57">
        <v>45.36</v>
      </c>
      <c r="G1842">
        <v>3</v>
      </c>
      <c r="H1842" s="58">
        <v>35.6706</v>
      </c>
      <c r="I1842" s="57">
        <v>9.3318999999999992</v>
      </c>
      <c r="J1842" s="58" t="s">
        <v>784</v>
      </c>
      <c r="K1842">
        <v>4.2</v>
      </c>
      <c r="L1842" s="26"/>
      <c r="M1842" s="58">
        <v>11</v>
      </c>
      <c r="N1842" s="59" t="s">
        <v>2</v>
      </c>
      <c r="O1842" s="61" t="s">
        <v>1524</v>
      </c>
    </row>
    <row r="1843" spans="1:15" ht="60" x14ac:dyDescent="0.25">
      <c r="A1843">
        <v>10188</v>
      </c>
      <c r="B1843">
        <v>18</v>
      </c>
      <c r="C1843" s="56" t="s">
        <v>0</v>
      </c>
      <c r="D1843">
        <v>2018</v>
      </c>
      <c r="E1843">
        <v>43</v>
      </c>
      <c r="F1843" s="57">
        <v>1.78</v>
      </c>
      <c r="G1843">
        <v>13</v>
      </c>
      <c r="H1843" s="58">
        <v>-13.1645</v>
      </c>
      <c r="I1843" s="57">
        <v>45.546199999999999</v>
      </c>
      <c r="J1843" s="58" t="s">
        <v>1</v>
      </c>
      <c r="K1843">
        <v>4.4000000000000004</v>
      </c>
      <c r="L1843" s="26"/>
      <c r="M1843" s="58">
        <v>112</v>
      </c>
      <c r="N1843" s="59" t="s">
        <v>1516</v>
      </c>
      <c r="O1843" s="61" t="s">
        <v>1525</v>
      </c>
    </row>
    <row r="1844" spans="1:15" ht="105" x14ac:dyDescent="0.25">
      <c r="A1844">
        <v>10189</v>
      </c>
      <c r="B1844">
        <v>19</v>
      </c>
      <c r="C1844" s="56" t="s">
        <v>0</v>
      </c>
      <c r="D1844">
        <v>2018</v>
      </c>
      <c r="E1844">
        <v>14</v>
      </c>
      <c r="F1844" s="57">
        <v>21.67</v>
      </c>
      <c r="G1844">
        <v>7</v>
      </c>
      <c r="H1844" s="58">
        <v>34.8354</v>
      </c>
      <c r="I1844" s="57">
        <v>10.5936</v>
      </c>
      <c r="J1844" s="58" t="s">
        <v>1</v>
      </c>
      <c r="K1844">
        <v>4.0999999999999996</v>
      </c>
      <c r="L1844" s="26"/>
      <c r="M1844" s="58">
        <v>18</v>
      </c>
      <c r="N1844" s="59" t="s">
        <v>2</v>
      </c>
      <c r="O1844" s="61" t="s">
        <v>1526</v>
      </c>
    </row>
    <row r="1845" spans="1:15" ht="45" x14ac:dyDescent="0.25">
      <c r="A1845">
        <v>10190</v>
      </c>
      <c r="B1845">
        <v>19</v>
      </c>
      <c r="C1845" s="56" t="s">
        <v>0</v>
      </c>
      <c r="D1845">
        <v>2018</v>
      </c>
      <c r="E1845">
        <v>6</v>
      </c>
      <c r="F1845" s="57">
        <v>33.85</v>
      </c>
      <c r="G1845">
        <v>14</v>
      </c>
      <c r="H1845" s="58">
        <v>15.9216</v>
      </c>
      <c r="I1845" s="57">
        <v>39.549599999999998</v>
      </c>
      <c r="J1845" s="58" t="s">
        <v>1527</v>
      </c>
      <c r="K1845">
        <v>3.9</v>
      </c>
      <c r="L1845" s="26"/>
      <c r="M1845" s="58">
        <v>159</v>
      </c>
      <c r="N1845" s="59" t="s">
        <v>57</v>
      </c>
      <c r="O1845" s="61" t="s">
        <v>1528</v>
      </c>
    </row>
    <row r="1846" spans="1:15" ht="60" x14ac:dyDescent="0.25">
      <c r="A1846">
        <v>10191</v>
      </c>
      <c r="B1846">
        <v>19</v>
      </c>
      <c r="C1846" s="56" t="s">
        <v>0</v>
      </c>
      <c r="D1846">
        <v>2018</v>
      </c>
      <c r="E1846">
        <v>35</v>
      </c>
      <c r="F1846" s="57">
        <v>36.770000000000003</v>
      </c>
      <c r="G1846">
        <v>21</v>
      </c>
      <c r="H1846" s="58">
        <v>-13.3225</v>
      </c>
      <c r="I1846" s="57">
        <v>45.701799999999999</v>
      </c>
      <c r="J1846" s="58" t="s">
        <v>1529</v>
      </c>
      <c r="K1846">
        <v>3.9</v>
      </c>
      <c r="L1846" s="26"/>
      <c r="M1846" s="58">
        <v>83</v>
      </c>
      <c r="N1846" s="59" t="s">
        <v>1516</v>
      </c>
      <c r="O1846" s="61" t="s">
        <v>1525</v>
      </c>
    </row>
    <row r="1847" spans="1:15" ht="45" x14ac:dyDescent="0.25">
      <c r="A1847">
        <v>10192</v>
      </c>
      <c r="B1847">
        <v>21</v>
      </c>
      <c r="C1847" s="56" t="s">
        <v>0</v>
      </c>
      <c r="D1847">
        <v>2018</v>
      </c>
      <c r="E1847">
        <v>17</v>
      </c>
      <c r="F1847" s="57">
        <v>56.78</v>
      </c>
      <c r="G1847">
        <v>13</v>
      </c>
      <c r="H1847" s="58">
        <v>34.340600000000002</v>
      </c>
      <c r="I1847" s="57">
        <v>9.5653000000000006</v>
      </c>
      <c r="J1847" s="58" t="s">
        <v>1</v>
      </c>
      <c r="K1847">
        <v>4</v>
      </c>
      <c r="L1847" s="26"/>
      <c r="M1847" s="58">
        <v>103</v>
      </c>
      <c r="N1847" s="59" t="s">
        <v>2</v>
      </c>
      <c r="O1847" s="61" t="s">
        <v>1530</v>
      </c>
    </row>
    <row r="1848" spans="1:15" ht="75" x14ac:dyDescent="0.25">
      <c r="A1848">
        <v>10193</v>
      </c>
      <c r="B1848">
        <v>21</v>
      </c>
      <c r="C1848" s="56" t="s">
        <v>0</v>
      </c>
      <c r="D1848">
        <v>2018</v>
      </c>
      <c r="E1848">
        <v>12</v>
      </c>
      <c r="F1848" s="57">
        <v>10.79</v>
      </c>
      <c r="G1848">
        <v>15</v>
      </c>
      <c r="H1848" s="58">
        <v>-16.882000000000001</v>
      </c>
      <c r="I1848" s="57">
        <v>47.0717</v>
      </c>
      <c r="J1848" s="58" t="s">
        <v>1</v>
      </c>
      <c r="K1848">
        <v>3.9</v>
      </c>
      <c r="L1848" s="26"/>
      <c r="M1848" s="58">
        <v>139</v>
      </c>
      <c r="N1848" s="59" t="s">
        <v>177</v>
      </c>
      <c r="O1848" s="61" t="s">
        <v>1531</v>
      </c>
    </row>
    <row r="1849" spans="1:15" ht="60" x14ac:dyDescent="0.25">
      <c r="A1849">
        <v>10194</v>
      </c>
      <c r="B1849">
        <v>21</v>
      </c>
      <c r="C1849" s="56" t="s">
        <v>0</v>
      </c>
      <c r="D1849">
        <v>2018</v>
      </c>
      <c r="E1849">
        <v>23</v>
      </c>
      <c r="F1849" s="57">
        <v>37.590000000000003</v>
      </c>
      <c r="G1849">
        <v>17</v>
      </c>
      <c r="H1849" s="58">
        <v>-27.8489</v>
      </c>
      <c r="I1849" s="57">
        <v>26.4971</v>
      </c>
      <c r="J1849" s="58" t="s">
        <v>1</v>
      </c>
      <c r="K1849">
        <v>4.3</v>
      </c>
      <c r="L1849" s="26"/>
      <c r="M1849" s="58">
        <v>135</v>
      </c>
      <c r="N1849" s="59" t="s">
        <v>693</v>
      </c>
      <c r="O1849" s="61" t="s">
        <v>1532</v>
      </c>
    </row>
    <row r="1850" spans="1:15" ht="105" x14ac:dyDescent="0.25">
      <c r="A1850">
        <v>10195</v>
      </c>
      <c r="B1850" s="8">
        <v>21</v>
      </c>
      <c r="C1850" s="56" t="s">
        <v>0</v>
      </c>
      <c r="D1850">
        <v>2018</v>
      </c>
      <c r="E1850" s="8">
        <v>31</v>
      </c>
      <c r="F1850" s="9">
        <v>46.56</v>
      </c>
      <c r="G1850" s="8">
        <v>21</v>
      </c>
      <c r="H1850" s="11">
        <v>22.035699999999999</v>
      </c>
      <c r="I1850" s="9">
        <v>-8.5862999999999996</v>
      </c>
      <c r="J1850" s="11" t="s">
        <v>1</v>
      </c>
      <c r="K1850" s="8">
        <v>4.0999999999999996</v>
      </c>
      <c r="L1850" s="11"/>
      <c r="M1850" s="11">
        <v>17</v>
      </c>
      <c r="N1850" s="12" t="s">
        <v>663</v>
      </c>
      <c r="O1850" s="13" t="s">
        <v>1533</v>
      </c>
    </row>
    <row r="1851" spans="1:15" ht="75" x14ac:dyDescent="0.25">
      <c r="A1851">
        <v>10196</v>
      </c>
      <c r="B1851">
        <v>22</v>
      </c>
      <c r="C1851" s="56" t="s">
        <v>0</v>
      </c>
      <c r="D1851">
        <v>2018</v>
      </c>
      <c r="E1851">
        <v>5</v>
      </c>
      <c r="F1851" s="57">
        <v>14.5</v>
      </c>
      <c r="G1851">
        <v>4</v>
      </c>
      <c r="H1851" s="58">
        <v>36.617800000000003</v>
      </c>
      <c r="I1851" s="57">
        <v>8.0204000000000004</v>
      </c>
      <c r="J1851" s="58" t="s">
        <v>1</v>
      </c>
      <c r="K1851">
        <v>3.9</v>
      </c>
      <c r="L1851" s="26"/>
      <c r="M1851" s="58">
        <v>49</v>
      </c>
      <c r="N1851" s="59" t="s">
        <v>2</v>
      </c>
      <c r="O1851" s="61" t="s">
        <v>1534</v>
      </c>
    </row>
    <row r="1852" spans="1:15" ht="60" x14ac:dyDescent="0.25">
      <c r="A1852">
        <v>10197</v>
      </c>
      <c r="B1852">
        <v>22</v>
      </c>
      <c r="C1852" s="56" t="s">
        <v>0</v>
      </c>
      <c r="D1852">
        <v>2018</v>
      </c>
      <c r="E1852">
        <v>50</v>
      </c>
      <c r="F1852" s="57">
        <v>7.97</v>
      </c>
      <c r="G1852">
        <v>12</v>
      </c>
      <c r="H1852" s="58">
        <v>-13.5425</v>
      </c>
      <c r="I1852" s="57">
        <v>45.339500000000001</v>
      </c>
      <c r="J1852" s="58" t="s">
        <v>1</v>
      </c>
      <c r="K1852">
        <v>4</v>
      </c>
      <c r="L1852" s="26"/>
      <c r="M1852" s="58">
        <v>123</v>
      </c>
      <c r="N1852" s="59" t="s">
        <v>1516</v>
      </c>
      <c r="O1852" s="61" t="s">
        <v>1464</v>
      </c>
    </row>
    <row r="1853" spans="1:15" ht="60" x14ac:dyDescent="0.25">
      <c r="A1853">
        <v>10198</v>
      </c>
      <c r="B1853">
        <v>22</v>
      </c>
      <c r="C1853" s="56" t="s">
        <v>0</v>
      </c>
      <c r="D1853">
        <v>2018</v>
      </c>
      <c r="E1853">
        <v>43</v>
      </c>
      <c r="F1853" s="57">
        <v>31</v>
      </c>
      <c r="G1853">
        <v>14</v>
      </c>
      <c r="H1853" s="58">
        <v>-29.858499999999999</v>
      </c>
      <c r="I1853" s="57">
        <v>26.546199999999999</v>
      </c>
      <c r="J1853" s="58" t="s">
        <v>1</v>
      </c>
      <c r="L1853" s="26"/>
      <c r="M1853" s="58">
        <v>45</v>
      </c>
      <c r="N1853" s="59" t="s">
        <v>693</v>
      </c>
      <c r="O1853" s="61" t="s">
        <v>1535</v>
      </c>
    </row>
    <row r="1854" spans="1:15" ht="75" x14ac:dyDescent="0.25">
      <c r="A1854">
        <v>10199</v>
      </c>
      <c r="B1854">
        <v>22</v>
      </c>
      <c r="C1854" s="56" t="s">
        <v>0</v>
      </c>
      <c r="D1854">
        <v>2018</v>
      </c>
      <c r="E1854">
        <v>9</v>
      </c>
      <c r="F1854" s="57">
        <v>11.68</v>
      </c>
      <c r="G1854">
        <v>15</v>
      </c>
      <c r="H1854" s="58">
        <v>-229.03039999999999</v>
      </c>
      <c r="I1854" s="57">
        <v>26.0379</v>
      </c>
      <c r="J1854" s="58" t="s">
        <v>1</v>
      </c>
      <c r="K1854">
        <v>4.0999999999999996</v>
      </c>
      <c r="L1854" s="26"/>
      <c r="M1854" s="58">
        <v>34</v>
      </c>
      <c r="N1854" s="59" t="s">
        <v>693</v>
      </c>
      <c r="O1854" s="61" t="s">
        <v>1536</v>
      </c>
    </row>
    <row r="1855" spans="1:15" ht="45" x14ac:dyDescent="0.25">
      <c r="A1855">
        <v>10200</v>
      </c>
      <c r="B1855" s="8">
        <v>22</v>
      </c>
      <c r="C1855" s="56" t="s">
        <v>0</v>
      </c>
      <c r="D1855">
        <v>2018</v>
      </c>
      <c r="E1855" s="8">
        <v>9</v>
      </c>
      <c r="F1855" s="9">
        <v>31.51</v>
      </c>
      <c r="G1855" s="8">
        <v>21</v>
      </c>
      <c r="H1855" s="11">
        <v>13.4511</v>
      </c>
      <c r="I1855" s="9">
        <v>7.9880000000000004</v>
      </c>
      <c r="J1855" s="11" t="s">
        <v>1</v>
      </c>
      <c r="K1855" s="8">
        <v>2.8</v>
      </c>
      <c r="L1855" s="11">
        <v>3.8</v>
      </c>
      <c r="M1855" s="11">
        <v>140</v>
      </c>
      <c r="N1855" s="12" t="s">
        <v>663</v>
      </c>
      <c r="O1855" s="13" t="s">
        <v>1537</v>
      </c>
    </row>
    <row r="1856" spans="1:15" ht="90" x14ac:dyDescent="0.25">
      <c r="A1856">
        <v>10201</v>
      </c>
      <c r="B1856">
        <v>22</v>
      </c>
      <c r="C1856" s="56" t="s">
        <v>0</v>
      </c>
      <c r="D1856">
        <v>2018</v>
      </c>
      <c r="E1856">
        <v>23</v>
      </c>
      <c r="F1856" s="57">
        <v>15.05</v>
      </c>
      <c r="G1856">
        <v>21</v>
      </c>
      <c r="H1856" s="58">
        <v>2.8363</v>
      </c>
      <c r="I1856" s="57">
        <v>-3.6131000000000002</v>
      </c>
      <c r="J1856" s="58" t="s">
        <v>1</v>
      </c>
      <c r="K1856">
        <v>2</v>
      </c>
      <c r="L1856" s="26">
        <v>4.2</v>
      </c>
      <c r="M1856" s="58">
        <v>76</v>
      </c>
      <c r="N1856" s="59" t="s">
        <v>1010</v>
      </c>
      <c r="O1856" s="61" t="s">
        <v>1538</v>
      </c>
    </row>
    <row r="1857" spans="1:15" ht="60" x14ac:dyDescent="0.25">
      <c r="A1857">
        <v>10202</v>
      </c>
      <c r="B1857">
        <v>22</v>
      </c>
      <c r="C1857" s="56" t="s">
        <v>0</v>
      </c>
      <c r="D1857">
        <v>2018</v>
      </c>
      <c r="E1857">
        <v>31</v>
      </c>
      <c r="F1857" s="57">
        <v>55.01</v>
      </c>
      <c r="G1857">
        <v>22</v>
      </c>
      <c r="H1857" s="58">
        <v>20.413799999999998</v>
      </c>
      <c r="I1857" s="57">
        <v>32.433100000000003</v>
      </c>
      <c r="J1857" s="58" t="s">
        <v>1</v>
      </c>
      <c r="K1857">
        <v>4.0999999999999996</v>
      </c>
      <c r="L1857" s="26"/>
      <c r="M1857" s="58">
        <v>177</v>
      </c>
      <c r="N1857" s="59" t="s">
        <v>117</v>
      </c>
      <c r="O1857" s="61" t="s">
        <v>1539</v>
      </c>
    </row>
    <row r="1858" spans="1:15" ht="75" x14ac:dyDescent="0.25">
      <c r="A1858">
        <v>10203</v>
      </c>
      <c r="B1858">
        <v>23</v>
      </c>
      <c r="C1858" s="56" t="s">
        <v>0</v>
      </c>
      <c r="D1858">
        <v>2018</v>
      </c>
      <c r="E1858">
        <v>52</v>
      </c>
      <c r="F1858" s="57">
        <v>34.89</v>
      </c>
      <c r="G1858">
        <v>15</v>
      </c>
      <c r="H1858" s="58">
        <v>-29.515899999999998</v>
      </c>
      <c r="I1858" s="57">
        <v>24.1629</v>
      </c>
      <c r="J1858" s="58" t="s">
        <v>1</v>
      </c>
      <c r="K1858">
        <v>3.8</v>
      </c>
      <c r="L1858" s="26"/>
      <c r="M1858" s="58">
        <v>132</v>
      </c>
      <c r="N1858" s="59" t="s">
        <v>693</v>
      </c>
      <c r="O1858" s="61" t="s">
        <v>1540</v>
      </c>
    </row>
    <row r="1859" spans="1:15" ht="60" x14ac:dyDescent="0.25">
      <c r="A1859">
        <v>10204</v>
      </c>
      <c r="B1859">
        <v>23</v>
      </c>
      <c r="C1859" s="56" t="s">
        <v>0</v>
      </c>
      <c r="D1859">
        <v>2018</v>
      </c>
      <c r="E1859">
        <v>13</v>
      </c>
      <c r="F1859" s="57">
        <v>51.38</v>
      </c>
      <c r="G1859">
        <v>18</v>
      </c>
      <c r="H1859" s="58">
        <v>-13.6212</v>
      </c>
      <c r="I1859" s="57">
        <v>45.810600000000001</v>
      </c>
      <c r="J1859" s="58" t="s">
        <v>1</v>
      </c>
      <c r="K1859">
        <v>4</v>
      </c>
      <c r="L1859" s="26"/>
      <c r="M1859" s="58">
        <v>4</v>
      </c>
      <c r="N1859" s="59" t="s">
        <v>1516</v>
      </c>
      <c r="O1859" s="61" t="s">
        <v>1525</v>
      </c>
    </row>
    <row r="1860" spans="1:15" ht="60" x14ac:dyDescent="0.25">
      <c r="A1860">
        <v>10205</v>
      </c>
      <c r="B1860">
        <v>23</v>
      </c>
      <c r="C1860" s="56" t="s">
        <v>0</v>
      </c>
      <c r="D1860">
        <v>2018</v>
      </c>
      <c r="E1860">
        <v>44</v>
      </c>
      <c r="F1860" s="57">
        <v>25.17</v>
      </c>
      <c r="G1860">
        <v>18</v>
      </c>
      <c r="H1860" s="58">
        <v>-15.3926</v>
      </c>
      <c r="I1860" s="57">
        <v>47.244199999999999</v>
      </c>
      <c r="J1860" s="58" t="s">
        <v>1</v>
      </c>
      <c r="K1860">
        <v>3.8</v>
      </c>
      <c r="L1860" s="26"/>
      <c r="M1860" s="58">
        <v>154</v>
      </c>
      <c r="N1860" s="59" t="s">
        <v>177</v>
      </c>
      <c r="O1860" s="61" t="s">
        <v>1541</v>
      </c>
    </row>
    <row r="1861" spans="1:15" ht="60" x14ac:dyDescent="0.25">
      <c r="A1861">
        <v>10206</v>
      </c>
      <c r="B1861">
        <v>23</v>
      </c>
      <c r="C1861" s="56" t="s">
        <v>0</v>
      </c>
      <c r="D1861">
        <v>2018</v>
      </c>
      <c r="E1861">
        <v>42</v>
      </c>
      <c r="F1861" s="57">
        <v>1.69</v>
      </c>
      <c r="G1861">
        <v>19</v>
      </c>
      <c r="H1861" s="58">
        <v>-13.7448</v>
      </c>
      <c r="I1861" s="57">
        <v>45.871600000000001</v>
      </c>
      <c r="J1861" s="58" t="s">
        <v>1</v>
      </c>
      <c r="K1861">
        <v>3.9</v>
      </c>
      <c r="L1861" s="26"/>
      <c r="M1861" s="58">
        <v>139</v>
      </c>
      <c r="N1861" s="59" t="s">
        <v>1516</v>
      </c>
      <c r="O1861" s="61" t="s">
        <v>1464</v>
      </c>
    </row>
    <row r="1862" spans="1:15" ht="60" x14ac:dyDescent="0.25">
      <c r="A1862">
        <v>10207</v>
      </c>
      <c r="B1862">
        <v>23</v>
      </c>
      <c r="C1862" s="56" t="s">
        <v>0</v>
      </c>
      <c r="D1862">
        <v>2018</v>
      </c>
      <c r="E1862">
        <v>42</v>
      </c>
      <c r="F1862" s="57">
        <v>12.93</v>
      </c>
      <c r="G1862">
        <v>19</v>
      </c>
      <c r="H1862" s="58">
        <v>-136757</v>
      </c>
      <c r="I1862" s="57">
        <v>45.526699999999998</v>
      </c>
      <c r="J1862" s="58" t="s">
        <v>1</v>
      </c>
      <c r="K1862">
        <v>4.0999999999999996</v>
      </c>
      <c r="L1862" s="26"/>
      <c r="M1862" s="58">
        <v>149</v>
      </c>
      <c r="N1862" s="59" t="s">
        <v>1516</v>
      </c>
      <c r="O1862" s="61" t="s">
        <v>1464</v>
      </c>
    </row>
    <row r="1863" spans="1:15" ht="60" x14ac:dyDescent="0.25">
      <c r="A1863">
        <v>10208</v>
      </c>
      <c r="B1863">
        <v>23</v>
      </c>
      <c r="C1863" s="56" t="s">
        <v>0</v>
      </c>
      <c r="D1863">
        <v>2018</v>
      </c>
      <c r="E1863">
        <v>45</v>
      </c>
      <c r="F1863" s="57">
        <v>44.74</v>
      </c>
      <c r="G1863">
        <v>19</v>
      </c>
      <c r="H1863" s="58">
        <v>-12.957800000000001</v>
      </c>
      <c r="I1863" s="57">
        <v>45.645899999999997</v>
      </c>
      <c r="J1863" s="58" t="s">
        <v>1</v>
      </c>
      <c r="K1863">
        <v>4.3</v>
      </c>
      <c r="L1863" s="26"/>
      <c r="M1863" s="58">
        <v>74</v>
      </c>
      <c r="N1863" s="59" t="s">
        <v>1516</v>
      </c>
      <c r="O1863" s="61" t="s">
        <v>1464</v>
      </c>
    </row>
    <row r="1864" spans="1:15" ht="60" x14ac:dyDescent="0.25">
      <c r="A1864">
        <v>10209</v>
      </c>
      <c r="B1864">
        <v>23</v>
      </c>
      <c r="C1864" s="56" t="s">
        <v>0</v>
      </c>
      <c r="D1864">
        <v>2018</v>
      </c>
      <c r="E1864">
        <v>45</v>
      </c>
      <c r="F1864" s="57">
        <v>58.64</v>
      </c>
      <c r="G1864">
        <v>19</v>
      </c>
      <c r="H1864" s="58">
        <v>-12.147600000000001</v>
      </c>
      <c r="I1864" s="57">
        <v>44.040199999999999</v>
      </c>
      <c r="J1864" s="58" t="s">
        <v>1</v>
      </c>
      <c r="K1864">
        <v>4.5</v>
      </c>
      <c r="L1864" s="26"/>
      <c r="M1864" s="58">
        <v>110</v>
      </c>
      <c r="N1864" s="59" t="s">
        <v>1516</v>
      </c>
      <c r="O1864" s="61" t="s">
        <v>1464</v>
      </c>
    </row>
    <row r="1865" spans="1:15" ht="75" x14ac:dyDescent="0.25">
      <c r="A1865">
        <v>10210</v>
      </c>
      <c r="B1865">
        <v>23</v>
      </c>
      <c r="C1865" s="56" t="s">
        <v>0</v>
      </c>
      <c r="D1865">
        <v>2018</v>
      </c>
      <c r="E1865">
        <v>24</v>
      </c>
      <c r="F1865" s="57" t="s">
        <v>1542</v>
      </c>
      <c r="G1865">
        <v>22</v>
      </c>
      <c r="H1865" s="58">
        <v>-28.749400000000001</v>
      </c>
      <c r="I1865" s="57">
        <v>25.507400000000001</v>
      </c>
      <c r="J1865" s="58" t="s">
        <v>1</v>
      </c>
      <c r="K1865">
        <v>3.9</v>
      </c>
      <c r="L1865" s="26"/>
      <c r="M1865" s="58">
        <v>98</v>
      </c>
      <c r="N1865" s="59" t="s">
        <v>693</v>
      </c>
      <c r="O1865" s="61" t="s">
        <v>1543</v>
      </c>
    </row>
    <row r="1866" spans="1:15" ht="60" x14ac:dyDescent="0.25">
      <c r="A1866">
        <v>10211</v>
      </c>
      <c r="B1866">
        <v>24</v>
      </c>
      <c r="C1866" s="56" t="s">
        <v>0</v>
      </c>
      <c r="D1866">
        <v>2018</v>
      </c>
      <c r="E1866">
        <v>12</v>
      </c>
      <c r="F1866" s="57">
        <v>36.119999999999997</v>
      </c>
      <c r="G1866">
        <v>0</v>
      </c>
      <c r="H1866" s="58">
        <v>-13.675800000000001</v>
      </c>
      <c r="I1866" s="57">
        <v>45.849400000000003</v>
      </c>
      <c r="J1866" s="58" t="s">
        <v>1</v>
      </c>
      <c r="K1866">
        <v>4</v>
      </c>
      <c r="L1866" s="26"/>
      <c r="M1866" s="58">
        <v>125</v>
      </c>
      <c r="N1866" s="59" t="s">
        <v>1516</v>
      </c>
      <c r="O1866" s="61" t="s">
        <v>1464</v>
      </c>
    </row>
    <row r="1867" spans="1:15" ht="60" x14ac:dyDescent="0.25">
      <c r="A1867">
        <v>10212</v>
      </c>
      <c r="B1867" s="8">
        <v>24</v>
      </c>
      <c r="C1867" s="56" t="s">
        <v>0</v>
      </c>
      <c r="D1867">
        <v>2018</v>
      </c>
      <c r="E1867" s="8">
        <v>55</v>
      </c>
      <c r="F1867" s="9">
        <v>29.53</v>
      </c>
      <c r="G1867" s="8">
        <v>10</v>
      </c>
      <c r="H1867" s="11">
        <v>12.7455</v>
      </c>
      <c r="I1867" s="9">
        <v>1.2942</v>
      </c>
      <c r="J1867" s="11" t="s">
        <v>1</v>
      </c>
      <c r="K1867" s="8">
        <v>3.5</v>
      </c>
      <c r="L1867" s="11"/>
      <c r="M1867" s="11">
        <v>135</v>
      </c>
      <c r="N1867" s="12" t="s">
        <v>663</v>
      </c>
      <c r="O1867" s="13" t="s">
        <v>1544</v>
      </c>
    </row>
    <row r="1868" spans="1:15" ht="45" x14ac:dyDescent="0.25">
      <c r="A1868">
        <v>10213</v>
      </c>
      <c r="B1868" s="8">
        <v>24</v>
      </c>
      <c r="C1868" s="56" t="s">
        <v>0</v>
      </c>
      <c r="D1868">
        <v>2018</v>
      </c>
      <c r="E1868" s="8">
        <v>21</v>
      </c>
      <c r="F1868" s="9">
        <v>39.340000000000003</v>
      </c>
      <c r="G1868" s="8">
        <v>19</v>
      </c>
      <c r="H1868" s="11">
        <v>-25.802199999999999</v>
      </c>
      <c r="I1868" s="9">
        <v>24.529800000000002</v>
      </c>
      <c r="J1868" s="11" t="s">
        <v>1</v>
      </c>
      <c r="K1868" s="8">
        <v>4.0999999999999996</v>
      </c>
      <c r="L1868" s="11"/>
      <c r="M1868" s="11">
        <v>73</v>
      </c>
      <c r="N1868" s="12" t="s">
        <v>66</v>
      </c>
      <c r="O1868" s="13" t="s">
        <v>1545</v>
      </c>
    </row>
    <row r="1869" spans="1:15" ht="45" x14ac:dyDescent="0.25">
      <c r="A1869">
        <v>10214</v>
      </c>
      <c r="B1869" s="8">
        <v>24</v>
      </c>
      <c r="C1869" s="56" t="s">
        <v>0</v>
      </c>
      <c r="D1869">
        <v>2018</v>
      </c>
      <c r="E1869" s="8">
        <v>28</v>
      </c>
      <c r="F1869" s="9">
        <v>38.35</v>
      </c>
      <c r="G1869" s="8">
        <v>20</v>
      </c>
      <c r="H1869" s="11">
        <v>5.2384000000000004</v>
      </c>
      <c r="I1869" s="9">
        <v>-12.0581</v>
      </c>
      <c r="J1869" s="11" t="s">
        <v>1</v>
      </c>
      <c r="K1869" s="8">
        <v>2.6</v>
      </c>
      <c r="L1869" s="11">
        <v>4.4000000000000004</v>
      </c>
      <c r="M1869" s="11">
        <v>158</v>
      </c>
      <c r="N1869" s="12" t="s">
        <v>663</v>
      </c>
      <c r="O1869" s="13" t="s">
        <v>1546</v>
      </c>
    </row>
    <row r="1870" spans="1:15" ht="45" x14ac:dyDescent="0.25">
      <c r="A1870">
        <v>10215</v>
      </c>
      <c r="B1870" s="8">
        <v>24</v>
      </c>
      <c r="C1870" s="56" t="s">
        <v>0</v>
      </c>
      <c r="D1870">
        <v>2018</v>
      </c>
      <c r="E1870" s="8">
        <v>13</v>
      </c>
      <c r="F1870" s="9">
        <v>18.64</v>
      </c>
      <c r="G1870" s="8">
        <v>22</v>
      </c>
      <c r="H1870" s="11">
        <v>13.915100000000001</v>
      </c>
      <c r="I1870" s="9">
        <v>1.0906</v>
      </c>
      <c r="J1870" s="11" t="s">
        <v>1</v>
      </c>
      <c r="K1870" s="8">
        <v>4.2</v>
      </c>
      <c r="L1870" s="11"/>
      <c r="M1870" s="11">
        <v>50</v>
      </c>
      <c r="N1870" s="12" t="s">
        <v>663</v>
      </c>
      <c r="O1870" s="13" t="s">
        <v>1547</v>
      </c>
    </row>
    <row r="1871" spans="1:15" ht="60" x14ac:dyDescent="0.25">
      <c r="A1871">
        <v>10216</v>
      </c>
      <c r="B1871" s="8">
        <v>25</v>
      </c>
      <c r="C1871" s="56" t="s">
        <v>0</v>
      </c>
      <c r="D1871">
        <v>2018</v>
      </c>
      <c r="E1871" s="8">
        <v>35</v>
      </c>
      <c r="F1871" s="9">
        <v>56.74</v>
      </c>
      <c r="G1871" s="8">
        <v>8</v>
      </c>
      <c r="H1871" s="11">
        <v>13.165900000000001</v>
      </c>
      <c r="I1871" s="9">
        <v>0.87770000000000004</v>
      </c>
      <c r="J1871" s="11" t="s">
        <v>1</v>
      </c>
      <c r="K1871" s="8">
        <v>4</v>
      </c>
      <c r="L1871" s="11"/>
      <c r="M1871" s="11">
        <v>1</v>
      </c>
      <c r="N1871" s="12" t="s">
        <v>663</v>
      </c>
      <c r="O1871" s="13" t="s">
        <v>1548</v>
      </c>
    </row>
    <row r="1872" spans="1:15" ht="60" x14ac:dyDescent="0.25">
      <c r="A1872">
        <v>10217</v>
      </c>
      <c r="B1872" s="8">
        <v>25</v>
      </c>
      <c r="C1872" s="56" t="s">
        <v>0</v>
      </c>
      <c r="D1872">
        <v>2018</v>
      </c>
      <c r="E1872" s="8">
        <v>32</v>
      </c>
      <c r="F1872" s="9">
        <v>54.87</v>
      </c>
      <c r="G1872" s="8">
        <v>12</v>
      </c>
      <c r="H1872" s="11">
        <v>12.037800000000001</v>
      </c>
      <c r="I1872" s="9">
        <v>0.79890000000000005</v>
      </c>
      <c r="J1872" s="11" t="s">
        <v>1</v>
      </c>
      <c r="K1872" s="8">
        <v>4.5</v>
      </c>
      <c r="L1872" s="11"/>
      <c r="M1872" s="11">
        <v>132</v>
      </c>
      <c r="N1872" s="12" t="s">
        <v>663</v>
      </c>
      <c r="O1872" s="13" t="s">
        <v>1549</v>
      </c>
    </row>
    <row r="1873" spans="1:15" ht="60" x14ac:dyDescent="0.25">
      <c r="A1873">
        <v>10218</v>
      </c>
      <c r="B1873">
        <v>25</v>
      </c>
      <c r="C1873" s="56" t="s">
        <v>0</v>
      </c>
      <c r="D1873">
        <v>2018</v>
      </c>
      <c r="E1873">
        <v>41</v>
      </c>
      <c r="F1873" s="57">
        <v>28.98</v>
      </c>
      <c r="G1873">
        <v>17</v>
      </c>
      <c r="H1873" s="58">
        <v>-13.18</v>
      </c>
      <c r="I1873" s="57">
        <v>45.729500000000002</v>
      </c>
      <c r="J1873" s="58" t="s">
        <v>1</v>
      </c>
      <c r="K1873">
        <v>4.4000000000000004</v>
      </c>
      <c r="L1873" s="26"/>
      <c r="M1873" s="58">
        <v>86</v>
      </c>
      <c r="N1873" s="59" t="s">
        <v>1516</v>
      </c>
      <c r="O1873" s="61" t="s">
        <v>1525</v>
      </c>
    </row>
    <row r="1874" spans="1:15" ht="60" x14ac:dyDescent="0.25">
      <c r="A1874">
        <v>10219</v>
      </c>
      <c r="B1874">
        <v>25</v>
      </c>
      <c r="C1874" s="56" t="s">
        <v>0</v>
      </c>
      <c r="D1874">
        <v>2018</v>
      </c>
      <c r="E1874">
        <v>41</v>
      </c>
      <c r="F1874" s="57">
        <v>48.88</v>
      </c>
      <c r="G1874">
        <v>17</v>
      </c>
      <c r="H1874" s="58">
        <v>-11.4133</v>
      </c>
      <c r="I1874" s="57">
        <v>42.953899999999997</v>
      </c>
      <c r="J1874" s="58" t="s">
        <v>1</v>
      </c>
      <c r="K1874">
        <v>4.5999999999999996</v>
      </c>
      <c r="L1874" s="26"/>
      <c r="M1874" s="58">
        <v>115</v>
      </c>
      <c r="N1874" s="59" t="s">
        <v>1516</v>
      </c>
      <c r="O1874" s="61" t="s">
        <v>1464</v>
      </c>
    </row>
    <row r="1875" spans="1:15" ht="105" x14ac:dyDescent="0.25">
      <c r="A1875">
        <v>10220</v>
      </c>
      <c r="B1875">
        <v>26</v>
      </c>
      <c r="C1875" s="56" t="s">
        <v>0</v>
      </c>
      <c r="D1875">
        <v>2018</v>
      </c>
      <c r="E1875">
        <v>35</v>
      </c>
      <c r="F1875" s="57">
        <v>15.28</v>
      </c>
      <c r="G1875">
        <v>11</v>
      </c>
      <c r="H1875" s="58">
        <v>-26.353000000000002</v>
      </c>
      <c r="I1875" s="57">
        <v>27.771599999999999</v>
      </c>
      <c r="J1875" s="58" t="s">
        <v>1</v>
      </c>
      <c r="K1875">
        <v>2.4</v>
      </c>
      <c r="L1875" s="26">
        <v>4.5</v>
      </c>
      <c r="M1875" s="58">
        <v>144</v>
      </c>
      <c r="N1875" s="59" t="s">
        <v>693</v>
      </c>
      <c r="O1875" s="61" t="s">
        <v>1550</v>
      </c>
    </row>
    <row r="1876" spans="1:15" ht="60" x14ac:dyDescent="0.25">
      <c r="A1876">
        <v>10221</v>
      </c>
      <c r="B1876">
        <v>27</v>
      </c>
      <c r="C1876" s="56" t="s">
        <v>0</v>
      </c>
      <c r="D1876">
        <v>2018</v>
      </c>
      <c r="E1876">
        <v>40</v>
      </c>
      <c r="F1876" s="57">
        <v>55.6</v>
      </c>
      <c r="G1876">
        <v>6</v>
      </c>
      <c r="H1876" s="58">
        <v>-13.044</v>
      </c>
      <c r="I1876" s="57">
        <v>45.744900000000001</v>
      </c>
      <c r="J1876" s="58" t="s">
        <v>1</v>
      </c>
      <c r="K1876">
        <v>4.4000000000000004</v>
      </c>
      <c r="L1876" s="26"/>
      <c r="M1876" s="58">
        <v>120</v>
      </c>
      <c r="N1876" s="59" t="s">
        <v>1516</v>
      </c>
      <c r="O1876" s="61" t="s">
        <v>1464</v>
      </c>
    </row>
    <row r="1877" spans="1:15" ht="60" x14ac:dyDescent="0.25">
      <c r="A1877">
        <v>10222</v>
      </c>
      <c r="B1877">
        <v>27</v>
      </c>
      <c r="C1877" s="56" t="s">
        <v>0</v>
      </c>
      <c r="D1877">
        <v>2018</v>
      </c>
      <c r="E1877">
        <v>41</v>
      </c>
      <c r="F1877" s="57">
        <v>1.17</v>
      </c>
      <c r="G1877">
        <v>6</v>
      </c>
      <c r="H1877" s="58">
        <v>-13.0183</v>
      </c>
      <c r="I1877" s="57">
        <v>46.719000000000001</v>
      </c>
      <c r="J1877" s="58" t="s">
        <v>1</v>
      </c>
      <c r="K1877">
        <v>4.8</v>
      </c>
      <c r="L1877" s="26"/>
      <c r="M1877" s="58">
        <v>48</v>
      </c>
      <c r="N1877" s="59" t="s">
        <v>1516</v>
      </c>
      <c r="O1877" s="61" t="s">
        <v>1525</v>
      </c>
    </row>
    <row r="1878" spans="1:15" ht="60" x14ac:dyDescent="0.25">
      <c r="A1878">
        <v>10223</v>
      </c>
      <c r="B1878">
        <v>27</v>
      </c>
      <c r="C1878" s="56" t="s">
        <v>0</v>
      </c>
      <c r="D1878">
        <v>2018</v>
      </c>
      <c r="E1878">
        <v>4</v>
      </c>
      <c r="F1878" s="57">
        <v>26.93</v>
      </c>
      <c r="G1878">
        <v>13</v>
      </c>
      <c r="H1878" s="58">
        <v>19.345099999999999</v>
      </c>
      <c r="I1878" s="57">
        <v>23.438800000000001</v>
      </c>
      <c r="J1878" s="58" t="s">
        <v>1</v>
      </c>
      <c r="K1878">
        <v>3.8</v>
      </c>
      <c r="L1878" s="26"/>
      <c r="M1878" s="58">
        <v>168</v>
      </c>
      <c r="N1878" s="59" t="s">
        <v>1551</v>
      </c>
      <c r="O1878" s="61" t="s">
        <v>1552</v>
      </c>
    </row>
    <row r="1879" spans="1:15" ht="60" x14ac:dyDescent="0.25">
      <c r="A1879">
        <v>10224</v>
      </c>
      <c r="B1879">
        <v>27</v>
      </c>
      <c r="C1879" s="56" t="s">
        <v>0</v>
      </c>
      <c r="D1879">
        <v>2018</v>
      </c>
      <c r="E1879">
        <v>36</v>
      </c>
      <c r="F1879" s="57">
        <v>39.68</v>
      </c>
      <c r="G1879">
        <v>18</v>
      </c>
      <c r="H1879" s="58">
        <v>-13.201599999999999</v>
      </c>
      <c r="I1879" s="57">
        <v>46.109000000000002</v>
      </c>
      <c r="J1879" s="58" t="s">
        <v>1</v>
      </c>
      <c r="K1879">
        <v>4</v>
      </c>
      <c r="L1879" s="26"/>
      <c r="M1879" s="58">
        <v>22</v>
      </c>
      <c r="N1879" s="59" t="s">
        <v>1516</v>
      </c>
      <c r="O1879" s="61" t="s">
        <v>1464</v>
      </c>
    </row>
    <row r="1880" spans="1:15" ht="75" x14ac:dyDescent="0.25">
      <c r="A1880">
        <v>10225</v>
      </c>
      <c r="B1880">
        <v>27</v>
      </c>
      <c r="C1880" s="56" t="s">
        <v>0</v>
      </c>
      <c r="D1880">
        <v>2018</v>
      </c>
      <c r="E1880">
        <v>51</v>
      </c>
      <c r="F1880" s="57">
        <v>58.06</v>
      </c>
      <c r="G1880">
        <v>21</v>
      </c>
      <c r="H1880" s="58">
        <v>-26.8325</v>
      </c>
      <c r="I1880" s="57">
        <v>26.8325</v>
      </c>
      <c r="J1880" s="58" t="s">
        <v>1</v>
      </c>
      <c r="K1880">
        <v>4.0999999999999996</v>
      </c>
      <c r="L1880" s="26"/>
      <c r="M1880" s="58">
        <v>108</v>
      </c>
      <c r="N1880" s="59" t="s">
        <v>693</v>
      </c>
      <c r="O1880" s="61" t="s">
        <v>1553</v>
      </c>
    </row>
    <row r="1881" spans="1:15" ht="75" x14ac:dyDescent="0.25">
      <c r="A1881">
        <v>10226</v>
      </c>
      <c r="B1881">
        <v>28</v>
      </c>
      <c r="C1881" s="56" t="s">
        <v>0</v>
      </c>
      <c r="D1881">
        <v>2018</v>
      </c>
      <c r="E1881">
        <v>47</v>
      </c>
      <c r="F1881" s="57">
        <v>3.06</v>
      </c>
      <c r="G1881">
        <v>14</v>
      </c>
      <c r="H1881" s="58">
        <v>-30.5505</v>
      </c>
      <c r="I1881" s="57">
        <v>32.043199999999999</v>
      </c>
      <c r="J1881" s="58" t="s">
        <v>1</v>
      </c>
      <c r="K1881">
        <v>3.5</v>
      </c>
      <c r="L1881" s="26">
        <v>4.2</v>
      </c>
      <c r="M1881" s="58">
        <v>35</v>
      </c>
      <c r="N1881" s="59" t="s">
        <v>1554</v>
      </c>
      <c r="O1881" s="61" t="s">
        <v>1107</v>
      </c>
    </row>
    <row r="1882" spans="1:15" ht="75" x14ac:dyDescent="0.25">
      <c r="A1882">
        <v>10227</v>
      </c>
      <c r="B1882">
        <v>28</v>
      </c>
      <c r="C1882" s="56" t="s">
        <v>0</v>
      </c>
      <c r="D1882">
        <v>2018</v>
      </c>
      <c r="E1882">
        <v>10</v>
      </c>
      <c r="F1882" s="57">
        <v>59.33</v>
      </c>
      <c r="G1882">
        <v>16</v>
      </c>
      <c r="H1882" s="58">
        <v>-26.486899999999999</v>
      </c>
      <c r="I1882" s="57">
        <v>27.607199999999999</v>
      </c>
      <c r="J1882" s="58" t="s">
        <v>1</v>
      </c>
      <c r="K1882">
        <v>3.9</v>
      </c>
      <c r="L1882" s="26">
        <v>3.9</v>
      </c>
      <c r="M1882" s="58">
        <v>118</v>
      </c>
      <c r="N1882" s="59" t="s">
        <v>693</v>
      </c>
      <c r="O1882" s="61" t="s">
        <v>1167</v>
      </c>
    </row>
    <row r="1883" spans="1:15" ht="75" x14ac:dyDescent="0.25">
      <c r="A1883">
        <v>10228</v>
      </c>
      <c r="B1883">
        <v>28</v>
      </c>
      <c r="C1883" s="56" t="s">
        <v>0</v>
      </c>
      <c r="D1883">
        <v>2018</v>
      </c>
      <c r="E1883">
        <v>35</v>
      </c>
      <c r="F1883" s="57">
        <v>4.83</v>
      </c>
      <c r="G1883">
        <v>17</v>
      </c>
      <c r="H1883" s="58">
        <v>33.9405</v>
      </c>
      <c r="I1883" s="57">
        <v>-3.4529999999999998</v>
      </c>
      <c r="J1883" s="58" t="s">
        <v>1</v>
      </c>
      <c r="K1883">
        <v>3.7</v>
      </c>
      <c r="L1883" s="26"/>
      <c r="M1883" s="58">
        <v>86</v>
      </c>
      <c r="N1883" s="59" t="s">
        <v>28</v>
      </c>
      <c r="O1883" s="61" t="s">
        <v>1555</v>
      </c>
    </row>
    <row r="1884" spans="1:15" ht="105" x14ac:dyDescent="0.25">
      <c r="A1884">
        <v>10229</v>
      </c>
      <c r="B1884">
        <v>29</v>
      </c>
      <c r="C1884" s="56" t="s">
        <v>0</v>
      </c>
      <c r="D1884">
        <v>2018</v>
      </c>
      <c r="E1884">
        <v>17</v>
      </c>
      <c r="F1884" s="57">
        <v>29.35</v>
      </c>
      <c r="G1884">
        <v>1</v>
      </c>
      <c r="H1884" s="58">
        <v>-26.386299999999999</v>
      </c>
      <c r="I1884" s="57">
        <v>27.423999999999999</v>
      </c>
      <c r="J1884" s="58" t="s">
        <v>1</v>
      </c>
      <c r="K1884">
        <v>3.8</v>
      </c>
      <c r="L1884" s="26">
        <v>3.9</v>
      </c>
      <c r="M1884" s="58">
        <v>120</v>
      </c>
      <c r="N1884" s="59" t="s">
        <v>693</v>
      </c>
      <c r="O1884" s="61" t="s">
        <v>1556</v>
      </c>
    </row>
    <row r="1885" spans="1:15" ht="105" x14ac:dyDescent="0.25">
      <c r="A1885">
        <v>10230</v>
      </c>
      <c r="B1885">
        <v>29</v>
      </c>
      <c r="C1885" s="56" t="s">
        <v>0</v>
      </c>
      <c r="D1885">
        <v>2018</v>
      </c>
      <c r="E1885">
        <v>40</v>
      </c>
      <c r="F1885" s="57">
        <v>59.28</v>
      </c>
      <c r="G1885">
        <v>14</v>
      </c>
      <c r="H1885" s="58">
        <v>-26.386299999999999</v>
      </c>
      <c r="I1885" s="57">
        <v>27.423999999999999</v>
      </c>
      <c r="J1885" s="58" t="s">
        <v>1</v>
      </c>
      <c r="K1885">
        <v>4.5999999999999996</v>
      </c>
      <c r="L1885" s="26"/>
      <c r="M1885" s="58">
        <v>140</v>
      </c>
      <c r="N1885" s="59" t="s">
        <v>693</v>
      </c>
      <c r="O1885" s="61" t="s">
        <v>1556</v>
      </c>
    </row>
    <row r="1886" spans="1:15" ht="60" x14ac:dyDescent="0.25">
      <c r="A1886">
        <v>10231</v>
      </c>
      <c r="B1886">
        <v>29</v>
      </c>
      <c r="C1886" s="56" t="s">
        <v>0</v>
      </c>
      <c r="D1886">
        <v>2018</v>
      </c>
      <c r="E1886">
        <v>55</v>
      </c>
      <c r="F1886" s="57">
        <v>46.47</v>
      </c>
      <c r="G1886">
        <v>22</v>
      </c>
      <c r="H1886" s="58">
        <v>-12.964600000000001</v>
      </c>
      <c r="I1886" s="57">
        <v>45.023899999999998</v>
      </c>
      <c r="J1886" s="58" t="s">
        <v>1</v>
      </c>
      <c r="K1886">
        <v>3.7</v>
      </c>
      <c r="L1886" s="26"/>
      <c r="M1886" s="58">
        <v>134</v>
      </c>
      <c r="N1886" s="59" t="s">
        <v>1516</v>
      </c>
      <c r="O1886" s="61" t="s">
        <v>1464</v>
      </c>
    </row>
    <row r="1887" spans="1:15" ht="45" x14ac:dyDescent="0.25">
      <c r="A1887">
        <v>10232</v>
      </c>
      <c r="B1887">
        <v>30</v>
      </c>
      <c r="C1887" s="56" t="s">
        <v>0</v>
      </c>
      <c r="D1887">
        <v>2018</v>
      </c>
      <c r="E1887">
        <v>15</v>
      </c>
      <c r="F1887" s="57">
        <v>48.59</v>
      </c>
      <c r="G1887">
        <v>4</v>
      </c>
      <c r="H1887" s="58">
        <v>-17.6326</v>
      </c>
      <c r="I1887" s="57">
        <v>26.665099999999999</v>
      </c>
      <c r="J1887" s="58" t="s">
        <v>1</v>
      </c>
      <c r="K1887">
        <v>4.0999999999999996</v>
      </c>
      <c r="L1887" s="26"/>
      <c r="M1887" s="58">
        <v>86</v>
      </c>
      <c r="N1887" s="59" t="s">
        <v>700</v>
      </c>
      <c r="O1887" s="61" t="s">
        <v>1557</v>
      </c>
    </row>
    <row r="1888" spans="1:15" ht="60" x14ac:dyDescent="0.25">
      <c r="A1888">
        <v>10233</v>
      </c>
      <c r="B1888">
        <v>30</v>
      </c>
      <c r="C1888" s="56" t="s">
        <v>0</v>
      </c>
      <c r="D1888">
        <v>2018</v>
      </c>
      <c r="E1888">
        <v>14</v>
      </c>
      <c r="F1888" s="57">
        <v>29.97</v>
      </c>
      <c r="G1888">
        <v>8</v>
      </c>
      <c r="H1888" s="58">
        <v>10.4261</v>
      </c>
      <c r="I1888" s="57">
        <v>50.029200000000003</v>
      </c>
      <c r="J1888" s="58" t="s">
        <v>1558</v>
      </c>
      <c r="K1888">
        <v>3.6</v>
      </c>
      <c r="L1888" s="26"/>
      <c r="M1888" s="58">
        <v>160</v>
      </c>
      <c r="N1888" s="59" t="s">
        <v>954</v>
      </c>
      <c r="O1888" s="61" t="s">
        <v>1559</v>
      </c>
    </row>
    <row r="1889" spans="1:15" ht="60" x14ac:dyDescent="0.25">
      <c r="A1889">
        <v>10234</v>
      </c>
      <c r="B1889">
        <v>30</v>
      </c>
      <c r="C1889" s="56" t="s">
        <v>0</v>
      </c>
      <c r="D1889">
        <v>2018</v>
      </c>
      <c r="E1889">
        <v>32</v>
      </c>
      <c r="F1889" s="57">
        <v>15.62</v>
      </c>
      <c r="G1889">
        <v>18</v>
      </c>
      <c r="H1889" s="58">
        <v>-13.412000000000001</v>
      </c>
      <c r="I1889" s="57">
        <v>45.89</v>
      </c>
      <c r="J1889" s="58" t="s">
        <v>1</v>
      </c>
      <c r="K1889">
        <v>3.7</v>
      </c>
      <c r="L1889" s="26"/>
      <c r="M1889" s="58">
        <v>138</v>
      </c>
      <c r="N1889" s="59" t="s">
        <v>1516</v>
      </c>
      <c r="O1889" s="61" t="s">
        <v>1464</v>
      </c>
    </row>
    <row r="1890" spans="1:15" ht="45" x14ac:dyDescent="0.25">
      <c r="A1890">
        <v>10235</v>
      </c>
      <c r="B1890" s="8">
        <v>1</v>
      </c>
      <c r="C1890" s="56" t="s">
        <v>103</v>
      </c>
      <c r="D1890">
        <v>2018</v>
      </c>
      <c r="E1890" s="8">
        <v>7</v>
      </c>
      <c r="F1890" s="9">
        <v>6.67</v>
      </c>
      <c r="G1890" s="8">
        <v>8</v>
      </c>
      <c r="H1890" s="11">
        <v>6.6364000000000001</v>
      </c>
      <c r="I1890" s="9">
        <v>-5.4436999999999998</v>
      </c>
      <c r="J1890" s="11" t="s">
        <v>1</v>
      </c>
      <c r="K1890" s="8">
        <v>4.0999999999999996</v>
      </c>
      <c r="L1890" s="11"/>
      <c r="M1890" s="11">
        <v>141</v>
      </c>
      <c r="N1890" s="12" t="s">
        <v>15</v>
      </c>
      <c r="O1890" s="13" t="s">
        <v>1560</v>
      </c>
    </row>
    <row r="1891" spans="1:15" ht="45" x14ac:dyDescent="0.25">
      <c r="A1891">
        <v>10236</v>
      </c>
      <c r="B1891" s="8">
        <v>1</v>
      </c>
      <c r="C1891" s="56" t="s">
        <v>103</v>
      </c>
      <c r="D1891">
        <v>2018</v>
      </c>
      <c r="E1891" s="8">
        <v>4</v>
      </c>
      <c r="F1891" s="9">
        <v>34.950000000000003</v>
      </c>
      <c r="G1891" s="8">
        <v>15</v>
      </c>
      <c r="H1891" s="11">
        <v>6.6628999999999996</v>
      </c>
      <c r="I1891" s="9">
        <v>-4.8728999999999996</v>
      </c>
      <c r="J1891" s="11" t="s">
        <v>1</v>
      </c>
      <c r="K1891" s="8">
        <v>3.5</v>
      </c>
      <c r="L1891" s="11"/>
      <c r="M1891" s="11">
        <v>67</v>
      </c>
      <c r="N1891" s="12" t="s">
        <v>15</v>
      </c>
      <c r="O1891" s="13" t="s">
        <v>1561</v>
      </c>
    </row>
    <row r="1892" spans="1:15" ht="45" x14ac:dyDescent="0.25">
      <c r="A1892">
        <v>10237</v>
      </c>
      <c r="B1892" s="8">
        <v>2</v>
      </c>
      <c r="C1892" s="56" t="s">
        <v>103</v>
      </c>
      <c r="D1892">
        <v>2018</v>
      </c>
      <c r="E1892" s="8">
        <v>11</v>
      </c>
      <c r="F1892" s="9">
        <v>24.44</v>
      </c>
      <c r="G1892" s="8">
        <v>1</v>
      </c>
      <c r="H1892" s="11">
        <v>5.7952000000000004</v>
      </c>
      <c r="I1892" s="9">
        <v>-5.1611000000000002</v>
      </c>
      <c r="J1892" s="11" t="s">
        <v>1</v>
      </c>
      <c r="K1892" s="8">
        <v>4.5</v>
      </c>
      <c r="L1892" s="11"/>
      <c r="M1892" s="11">
        <v>93</v>
      </c>
      <c r="N1892" s="12" t="s">
        <v>15</v>
      </c>
      <c r="O1892" s="13" t="s">
        <v>1562</v>
      </c>
    </row>
    <row r="1893" spans="1:15" ht="45" x14ac:dyDescent="0.25">
      <c r="A1893">
        <v>10238</v>
      </c>
      <c r="B1893" s="8">
        <v>2</v>
      </c>
      <c r="C1893" s="56" t="s">
        <v>103</v>
      </c>
      <c r="D1893">
        <v>2018</v>
      </c>
      <c r="E1893" s="8">
        <v>52</v>
      </c>
      <c r="F1893" s="9">
        <v>25.05</v>
      </c>
      <c r="G1893" s="8">
        <v>1</v>
      </c>
      <c r="H1893" s="11">
        <v>13.1455</v>
      </c>
      <c r="I1893" s="9">
        <v>1.6802999999999999</v>
      </c>
      <c r="J1893" s="11" t="s">
        <v>1</v>
      </c>
      <c r="K1893" s="8">
        <v>3.9</v>
      </c>
      <c r="L1893" s="11"/>
      <c r="M1893" s="11">
        <v>81</v>
      </c>
      <c r="N1893" s="12" t="s">
        <v>15</v>
      </c>
      <c r="O1893" s="13" t="s">
        <v>1563</v>
      </c>
    </row>
    <row r="1894" spans="1:15" ht="60" x14ac:dyDescent="0.25">
      <c r="A1894">
        <v>10239</v>
      </c>
      <c r="B1894">
        <v>2</v>
      </c>
      <c r="C1894" s="56" t="s">
        <v>103</v>
      </c>
      <c r="D1894">
        <v>2018</v>
      </c>
      <c r="E1894">
        <v>18</v>
      </c>
      <c r="F1894" s="57">
        <v>53.62</v>
      </c>
      <c r="G1894">
        <v>9</v>
      </c>
      <c r="H1894" s="58">
        <v>35.540900000000001</v>
      </c>
      <c r="I1894" s="57">
        <v>10.341100000000001</v>
      </c>
      <c r="J1894" s="58" t="s">
        <v>1564</v>
      </c>
      <c r="K1894">
        <v>3.4</v>
      </c>
      <c r="L1894" s="26"/>
      <c r="M1894" s="58">
        <v>86</v>
      </c>
      <c r="N1894" s="59" t="s">
        <v>2</v>
      </c>
      <c r="O1894" s="61" t="s">
        <v>1565</v>
      </c>
    </row>
    <row r="1895" spans="1:15" ht="60" x14ac:dyDescent="0.25">
      <c r="A1895">
        <v>10240</v>
      </c>
      <c r="B1895">
        <v>2</v>
      </c>
      <c r="C1895" s="56" t="s">
        <v>103</v>
      </c>
      <c r="D1895">
        <v>2018</v>
      </c>
      <c r="E1895">
        <v>12</v>
      </c>
      <c r="F1895" s="57">
        <v>2.99</v>
      </c>
      <c r="G1895">
        <v>13</v>
      </c>
      <c r="H1895" s="58">
        <v>-29.249700000000001</v>
      </c>
      <c r="I1895" s="57">
        <v>25.7319</v>
      </c>
      <c r="J1895" s="58" t="s">
        <v>1</v>
      </c>
      <c r="K1895">
        <v>4</v>
      </c>
      <c r="L1895" s="26"/>
      <c r="M1895" s="58">
        <v>47</v>
      </c>
      <c r="N1895" s="59" t="s">
        <v>6</v>
      </c>
      <c r="O1895" s="61" t="s">
        <v>1566</v>
      </c>
    </row>
    <row r="1896" spans="1:15" ht="60" x14ac:dyDescent="0.25">
      <c r="A1896">
        <v>10241</v>
      </c>
      <c r="B1896">
        <v>2</v>
      </c>
      <c r="C1896" s="56" t="s">
        <v>103</v>
      </c>
      <c r="D1896">
        <v>2018</v>
      </c>
      <c r="E1896">
        <v>36</v>
      </c>
      <c r="F1896" s="57">
        <v>1.48</v>
      </c>
      <c r="G1896">
        <v>15</v>
      </c>
      <c r="H1896" s="58">
        <v>-25.729199999999999</v>
      </c>
      <c r="I1896" s="57">
        <v>30.0776</v>
      </c>
      <c r="J1896" s="58" t="s">
        <v>1</v>
      </c>
      <c r="L1896" s="26">
        <v>3.2</v>
      </c>
      <c r="M1896" s="58">
        <v>144</v>
      </c>
      <c r="N1896" s="59" t="s">
        <v>6</v>
      </c>
      <c r="O1896" s="61" t="s">
        <v>1567</v>
      </c>
    </row>
    <row r="1897" spans="1:15" ht="30" x14ac:dyDescent="0.25">
      <c r="A1897">
        <v>10242</v>
      </c>
      <c r="B1897">
        <v>2</v>
      </c>
      <c r="C1897" s="56" t="s">
        <v>103</v>
      </c>
      <c r="D1897">
        <v>2018</v>
      </c>
      <c r="E1897">
        <v>15</v>
      </c>
      <c r="F1897" s="57">
        <v>12.54</v>
      </c>
      <c r="G1897">
        <v>20</v>
      </c>
      <c r="H1897" s="58">
        <v>35.243499999999997</v>
      </c>
      <c r="I1897" s="57">
        <v>10.918799999999999</v>
      </c>
      <c r="J1897" s="58" t="s">
        <v>1</v>
      </c>
      <c r="K1897">
        <v>4.3</v>
      </c>
      <c r="L1897" s="26"/>
      <c r="M1897" s="58">
        <v>41</v>
      </c>
      <c r="N1897" s="59" t="s">
        <v>2</v>
      </c>
      <c r="O1897" s="61" t="s">
        <v>1568</v>
      </c>
    </row>
    <row r="1898" spans="1:15" ht="30" x14ac:dyDescent="0.25">
      <c r="A1898">
        <v>10243</v>
      </c>
      <c r="B1898">
        <v>3</v>
      </c>
      <c r="C1898" s="56" t="s">
        <v>103</v>
      </c>
      <c r="D1898">
        <v>2018</v>
      </c>
      <c r="E1898">
        <v>2</v>
      </c>
      <c r="F1898" s="57">
        <v>58.28</v>
      </c>
      <c r="G1898">
        <v>1</v>
      </c>
      <c r="H1898" s="58">
        <v>21.529800000000002</v>
      </c>
      <c r="I1898" s="57">
        <v>22.686299999999999</v>
      </c>
      <c r="J1898" s="58" t="s">
        <v>1</v>
      </c>
      <c r="K1898">
        <v>4.2</v>
      </c>
      <c r="L1898" s="26"/>
      <c r="M1898" s="58">
        <v>120</v>
      </c>
      <c r="N1898" s="59" t="s">
        <v>139</v>
      </c>
      <c r="O1898" s="61" t="s">
        <v>1569</v>
      </c>
    </row>
    <row r="1899" spans="1:15" ht="45" x14ac:dyDescent="0.25">
      <c r="A1899">
        <v>10244</v>
      </c>
      <c r="B1899" s="8">
        <v>3</v>
      </c>
      <c r="C1899" s="56" t="s">
        <v>103</v>
      </c>
      <c r="D1899">
        <v>2018</v>
      </c>
      <c r="E1899" s="8">
        <v>12</v>
      </c>
      <c r="F1899" s="9">
        <v>40.15</v>
      </c>
      <c r="G1899" s="8">
        <v>17</v>
      </c>
      <c r="H1899" s="11">
        <v>6.7050999999999998</v>
      </c>
      <c r="I1899" s="9">
        <v>-6.1951999999999998</v>
      </c>
      <c r="J1899" s="11" t="s">
        <v>1</v>
      </c>
      <c r="K1899" s="8">
        <v>4.0999999999999996</v>
      </c>
      <c r="L1899" s="11"/>
      <c r="M1899" s="11">
        <v>175</v>
      </c>
      <c r="N1899" s="12" t="s">
        <v>15</v>
      </c>
      <c r="O1899" s="13" t="s">
        <v>1570</v>
      </c>
    </row>
    <row r="1900" spans="1:15" ht="45" x14ac:dyDescent="0.25">
      <c r="A1900">
        <v>10245</v>
      </c>
      <c r="B1900" s="8">
        <v>3</v>
      </c>
      <c r="C1900" s="56" t="s">
        <v>103</v>
      </c>
      <c r="D1900">
        <v>2018</v>
      </c>
      <c r="E1900" s="8">
        <v>18</v>
      </c>
      <c r="F1900" s="9">
        <v>20.43</v>
      </c>
      <c r="G1900" s="8">
        <v>17</v>
      </c>
      <c r="H1900" s="11">
        <v>23.1403</v>
      </c>
      <c r="I1900" s="9">
        <v>-11.3239</v>
      </c>
      <c r="J1900" s="11" t="s">
        <v>1</v>
      </c>
      <c r="K1900" s="8">
        <v>3.8</v>
      </c>
      <c r="L1900" s="11">
        <v>3.9</v>
      </c>
      <c r="M1900" s="11">
        <v>79</v>
      </c>
      <c r="N1900" s="12" t="s">
        <v>15</v>
      </c>
      <c r="O1900" s="13" t="s">
        <v>1571</v>
      </c>
    </row>
    <row r="1901" spans="1:15" ht="45" x14ac:dyDescent="0.25">
      <c r="A1901">
        <v>10246</v>
      </c>
      <c r="B1901">
        <v>4</v>
      </c>
      <c r="C1901" s="56" t="s">
        <v>103</v>
      </c>
      <c r="D1901">
        <v>2018</v>
      </c>
      <c r="E1901">
        <v>19</v>
      </c>
      <c r="F1901" s="57">
        <v>4.55</v>
      </c>
      <c r="G1901">
        <v>3</v>
      </c>
      <c r="H1901" s="58">
        <v>36.781300000000002</v>
      </c>
      <c r="I1901" s="57">
        <v>10.443300000000001</v>
      </c>
      <c r="J1901" s="58" t="s">
        <v>1</v>
      </c>
      <c r="K1901">
        <v>4.0999999999999996</v>
      </c>
      <c r="L1901" s="26"/>
      <c r="M1901" s="58">
        <v>124</v>
      </c>
      <c r="N1901" s="59" t="s">
        <v>2</v>
      </c>
      <c r="O1901" s="61" t="s">
        <v>93</v>
      </c>
    </row>
    <row r="1902" spans="1:15" ht="60" x14ac:dyDescent="0.25">
      <c r="A1902">
        <v>10247</v>
      </c>
      <c r="B1902">
        <v>4</v>
      </c>
      <c r="C1902" s="56" t="s">
        <v>103</v>
      </c>
      <c r="D1902">
        <v>2018</v>
      </c>
      <c r="E1902">
        <v>2</v>
      </c>
      <c r="F1902" s="57">
        <v>27.17</v>
      </c>
      <c r="G1902">
        <v>6</v>
      </c>
      <c r="H1902" s="58">
        <v>-27.206499999999998</v>
      </c>
      <c r="I1902" s="57">
        <v>26.511199999999999</v>
      </c>
      <c r="J1902" s="58" t="s">
        <v>1</v>
      </c>
      <c r="K1902">
        <v>4.5999999999999996</v>
      </c>
      <c r="L1902" s="26"/>
      <c r="M1902" s="58">
        <v>121</v>
      </c>
      <c r="N1902" s="59" t="s">
        <v>6</v>
      </c>
      <c r="O1902" s="61" t="s">
        <v>1572</v>
      </c>
    </row>
    <row r="1903" spans="1:15" ht="45" x14ac:dyDescent="0.25">
      <c r="A1903">
        <v>10248</v>
      </c>
      <c r="B1903" s="8">
        <v>4</v>
      </c>
      <c r="C1903" s="56" t="s">
        <v>103</v>
      </c>
      <c r="D1903">
        <v>2018</v>
      </c>
      <c r="E1903" s="8">
        <v>8</v>
      </c>
      <c r="F1903" s="9">
        <v>15.55</v>
      </c>
      <c r="G1903" s="8">
        <v>7</v>
      </c>
      <c r="H1903" s="11">
        <v>12.9984</v>
      </c>
      <c r="I1903" s="9">
        <v>1.5851999999999999</v>
      </c>
      <c r="J1903" s="11" t="s">
        <v>1</v>
      </c>
      <c r="K1903" s="8">
        <v>4.0999999999999996</v>
      </c>
      <c r="L1903" s="11"/>
      <c r="M1903" s="11">
        <v>38</v>
      </c>
      <c r="N1903" s="12" t="s">
        <v>15</v>
      </c>
      <c r="O1903" s="13" t="s">
        <v>1573</v>
      </c>
    </row>
    <row r="1904" spans="1:15" ht="60" x14ac:dyDescent="0.25">
      <c r="A1904">
        <v>10249</v>
      </c>
      <c r="B1904">
        <v>4</v>
      </c>
      <c r="C1904" s="56" t="s">
        <v>103</v>
      </c>
      <c r="D1904">
        <v>2018</v>
      </c>
      <c r="E1904">
        <v>41</v>
      </c>
      <c r="F1904" s="57">
        <v>45.11</v>
      </c>
      <c r="G1904">
        <v>9</v>
      </c>
      <c r="H1904" s="58">
        <v>-27.307300000000001</v>
      </c>
      <c r="I1904" s="57">
        <v>24.740600000000001</v>
      </c>
      <c r="J1904" s="58" t="s">
        <v>1</v>
      </c>
      <c r="K1904">
        <v>4.0999999999999996</v>
      </c>
      <c r="L1904" s="26"/>
      <c r="M1904" s="58">
        <v>76</v>
      </c>
      <c r="N1904" s="59" t="s">
        <v>6</v>
      </c>
      <c r="O1904" s="61" t="s">
        <v>1574</v>
      </c>
    </row>
    <row r="1905" spans="1:15" ht="45" x14ac:dyDescent="0.25">
      <c r="A1905">
        <v>10250</v>
      </c>
      <c r="B1905">
        <v>4</v>
      </c>
      <c r="C1905" s="56" t="s">
        <v>103</v>
      </c>
      <c r="D1905">
        <v>2018</v>
      </c>
      <c r="E1905">
        <v>19</v>
      </c>
      <c r="F1905" s="57">
        <v>19.93</v>
      </c>
      <c r="G1905">
        <v>10</v>
      </c>
      <c r="H1905" s="58">
        <v>6.1452999999999998</v>
      </c>
      <c r="I1905" s="57">
        <v>-10.7522</v>
      </c>
      <c r="J1905" s="58" t="s">
        <v>1</v>
      </c>
      <c r="K1905">
        <v>4</v>
      </c>
      <c r="L1905" s="26"/>
      <c r="M1905" s="58">
        <v>20</v>
      </c>
      <c r="N1905" s="59" t="s">
        <v>15</v>
      </c>
      <c r="O1905" s="61" t="s">
        <v>1575</v>
      </c>
    </row>
    <row r="1906" spans="1:15" ht="60" x14ac:dyDescent="0.25">
      <c r="A1906">
        <v>10251</v>
      </c>
      <c r="B1906">
        <v>4</v>
      </c>
      <c r="C1906" s="56" t="s">
        <v>103</v>
      </c>
      <c r="D1906">
        <v>2018</v>
      </c>
      <c r="E1906">
        <v>55</v>
      </c>
      <c r="F1906" s="57">
        <v>50.62</v>
      </c>
      <c r="G1906">
        <v>16</v>
      </c>
      <c r="H1906" s="58">
        <v>-28.2346</v>
      </c>
      <c r="I1906" s="57">
        <v>25.278400000000001</v>
      </c>
      <c r="J1906" s="58" t="s">
        <v>1</v>
      </c>
      <c r="L1906" s="26"/>
      <c r="M1906" s="58">
        <v>74</v>
      </c>
      <c r="N1906" s="59" t="s">
        <v>6</v>
      </c>
      <c r="O1906" s="61" t="s">
        <v>1576</v>
      </c>
    </row>
    <row r="1907" spans="1:15" ht="45" x14ac:dyDescent="0.25">
      <c r="A1907">
        <v>10252</v>
      </c>
      <c r="B1907">
        <v>4</v>
      </c>
      <c r="C1907" s="56" t="s">
        <v>103</v>
      </c>
      <c r="D1907">
        <v>2018</v>
      </c>
      <c r="E1907">
        <v>33</v>
      </c>
      <c r="F1907" s="57">
        <v>21.24</v>
      </c>
      <c r="G1907">
        <v>18</v>
      </c>
      <c r="H1907" s="58">
        <v>36.8431</v>
      </c>
      <c r="I1907" s="57">
        <v>9.9540000000000006</v>
      </c>
      <c r="J1907" s="58" t="s">
        <v>1</v>
      </c>
      <c r="L1907" s="26"/>
      <c r="M1907" s="58">
        <v>117</v>
      </c>
      <c r="N1907" s="59" t="s">
        <v>2</v>
      </c>
      <c r="O1907" s="61" t="s">
        <v>1577</v>
      </c>
    </row>
    <row r="1908" spans="1:15" ht="60" x14ac:dyDescent="0.25">
      <c r="A1908">
        <v>10253</v>
      </c>
      <c r="B1908">
        <v>5</v>
      </c>
      <c r="C1908" s="56" t="s">
        <v>103</v>
      </c>
      <c r="D1908">
        <v>2018</v>
      </c>
      <c r="E1908">
        <v>40</v>
      </c>
      <c r="F1908" s="57">
        <v>40.340000000000003</v>
      </c>
      <c r="G1908">
        <v>19</v>
      </c>
      <c r="H1908" s="58">
        <v>-29.9038</v>
      </c>
      <c r="I1908" s="57">
        <v>25.9132</v>
      </c>
      <c r="J1908" s="58" t="s">
        <v>1</v>
      </c>
      <c r="K1908">
        <v>4.5</v>
      </c>
      <c r="L1908" s="26"/>
      <c r="M1908" s="58">
        <v>80</v>
      </c>
      <c r="N1908" s="59" t="s">
        <v>6</v>
      </c>
      <c r="O1908" s="61" t="s">
        <v>1578</v>
      </c>
    </row>
    <row r="1909" spans="1:15" ht="45" x14ac:dyDescent="0.25">
      <c r="A1909">
        <v>10254</v>
      </c>
      <c r="B1909" s="8">
        <v>6</v>
      </c>
      <c r="C1909" s="56" t="s">
        <v>103</v>
      </c>
      <c r="D1909">
        <v>2018</v>
      </c>
      <c r="E1909" s="8">
        <v>30</v>
      </c>
      <c r="F1909" s="9">
        <v>40.369999999999997</v>
      </c>
      <c r="G1909" s="8">
        <v>12</v>
      </c>
      <c r="H1909" s="11">
        <v>7.4374000000000002</v>
      </c>
      <c r="I1909" s="9">
        <v>-11.786099999999999</v>
      </c>
      <c r="J1909" s="11" t="s">
        <v>1</v>
      </c>
      <c r="K1909" s="8">
        <v>3.9</v>
      </c>
      <c r="L1909" s="11">
        <v>3</v>
      </c>
      <c r="M1909" s="11">
        <v>0</v>
      </c>
      <c r="N1909" s="12" t="s">
        <v>15</v>
      </c>
      <c r="O1909" s="13" t="s">
        <v>1579</v>
      </c>
    </row>
    <row r="1910" spans="1:15" ht="60" x14ac:dyDescent="0.25">
      <c r="A1910">
        <v>10255</v>
      </c>
      <c r="B1910">
        <v>7</v>
      </c>
      <c r="C1910" s="56" t="s">
        <v>103</v>
      </c>
      <c r="D1910">
        <v>2018</v>
      </c>
      <c r="E1910">
        <v>27</v>
      </c>
      <c r="F1910" s="57">
        <v>12.23</v>
      </c>
      <c r="G1910">
        <v>17</v>
      </c>
      <c r="H1910" s="58">
        <v>-27.7852</v>
      </c>
      <c r="I1910" s="57">
        <v>26.532599999999999</v>
      </c>
      <c r="J1910" s="58" t="s">
        <v>1</v>
      </c>
      <c r="K1910">
        <v>4.2</v>
      </c>
      <c r="L1910" s="26"/>
      <c r="M1910" s="58">
        <v>172</v>
      </c>
      <c r="N1910" s="59" t="s">
        <v>6</v>
      </c>
      <c r="O1910" s="61" t="s">
        <v>1580</v>
      </c>
    </row>
    <row r="1911" spans="1:15" ht="30" x14ac:dyDescent="0.25">
      <c r="A1911">
        <v>10256</v>
      </c>
      <c r="B1911">
        <v>10</v>
      </c>
      <c r="C1911" s="56" t="s">
        <v>103</v>
      </c>
      <c r="D1911">
        <v>2018</v>
      </c>
      <c r="E1911">
        <v>26</v>
      </c>
      <c r="F1911" s="57">
        <v>26.09</v>
      </c>
      <c r="G1911">
        <v>4</v>
      </c>
      <c r="H1911" s="58">
        <v>18.636199999999999</v>
      </c>
      <c r="I1911" s="57">
        <v>-10.045500000000001</v>
      </c>
      <c r="J1911" s="58" t="s">
        <v>1</v>
      </c>
      <c r="K1911">
        <v>4</v>
      </c>
      <c r="L1911" s="26"/>
      <c r="M1911" s="58">
        <v>140</v>
      </c>
      <c r="N1911" s="59" t="s">
        <v>799</v>
      </c>
      <c r="O1911" s="105" t="s">
        <v>1581</v>
      </c>
    </row>
    <row r="1912" spans="1:15" ht="30" x14ac:dyDescent="0.25">
      <c r="A1912">
        <v>10257</v>
      </c>
      <c r="B1912">
        <v>10</v>
      </c>
      <c r="C1912" s="56" t="s">
        <v>103</v>
      </c>
      <c r="D1912">
        <v>2018</v>
      </c>
      <c r="E1912">
        <v>2</v>
      </c>
      <c r="F1912" s="57">
        <v>46.56</v>
      </c>
      <c r="G1912">
        <v>5</v>
      </c>
      <c r="H1912" s="58">
        <v>-19.1936</v>
      </c>
      <c r="I1912" s="57">
        <v>47.594299999999997</v>
      </c>
      <c r="J1912" s="58" t="s">
        <v>1</v>
      </c>
      <c r="K1912">
        <v>4.4000000000000004</v>
      </c>
      <c r="L1912" s="26"/>
      <c r="M1912" s="58">
        <v>49</v>
      </c>
      <c r="N1912" s="59" t="s">
        <v>177</v>
      </c>
      <c r="O1912" s="105" t="s">
        <v>1582</v>
      </c>
    </row>
    <row r="1913" spans="1:15" ht="60" x14ac:dyDescent="0.25">
      <c r="A1913">
        <v>10258</v>
      </c>
      <c r="B1913">
        <v>10</v>
      </c>
      <c r="C1913" s="56" t="s">
        <v>103</v>
      </c>
      <c r="D1913">
        <v>2018</v>
      </c>
      <c r="E1913">
        <v>59</v>
      </c>
      <c r="F1913" s="57">
        <v>35.450000000000003</v>
      </c>
      <c r="G1913">
        <v>8</v>
      </c>
      <c r="H1913" s="58">
        <v>-24.860199999999999</v>
      </c>
      <c r="I1913" s="57">
        <v>29.1448</v>
      </c>
      <c r="J1913" s="58" t="s">
        <v>1</v>
      </c>
      <c r="L1913" s="26">
        <v>2.7</v>
      </c>
      <c r="M1913" s="58">
        <v>125</v>
      </c>
      <c r="N1913" s="59" t="s">
        <v>6</v>
      </c>
      <c r="O1913" s="105" t="s">
        <v>1583</v>
      </c>
    </row>
    <row r="1914" spans="1:15" x14ac:dyDescent="0.25">
      <c r="A1914">
        <v>10259</v>
      </c>
      <c r="B1914">
        <v>10</v>
      </c>
      <c r="C1914" s="56" t="s">
        <v>103</v>
      </c>
      <c r="D1914">
        <v>2018</v>
      </c>
      <c r="E1914">
        <v>47</v>
      </c>
      <c r="F1914" s="57">
        <v>29.26</v>
      </c>
      <c r="G1914">
        <v>14</v>
      </c>
      <c r="H1914" s="58">
        <v>34.721899999999998</v>
      </c>
      <c r="I1914" s="57">
        <v>10.4998</v>
      </c>
      <c r="J1914" s="58" t="s">
        <v>1</v>
      </c>
      <c r="L1914" s="26"/>
      <c r="M1914" s="58">
        <v>41</v>
      </c>
      <c r="N1914" s="59" t="s">
        <v>2</v>
      </c>
      <c r="O1914" s="105" t="s">
        <v>1584</v>
      </c>
    </row>
    <row r="1915" spans="1:15" ht="60" x14ac:dyDescent="0.25">
      <c r="A1915">
        <v>10260</v>
      </c>
      <c r="B1915">
        <v>10</v>
      </c>
      <c r="C1915" s="56" t="s">
        <v>103</v>
      </c>
      <c r="D1915">
        <v>2018</v>
      </c>
      <c r="E1915">
        <v>56</v>
      </c>
      <c r="F1915" s="57">
        <v>50.94</v>
      </c>
      <c r="G1915">
        <v>14</v>
      </c>
      <c r="H1915" s="58">
        <v>-23.610900000000001</v>
      </c>
      <c r="I1915" s="57">
        <v>37.816699999999997</v>
      </c>
      <c r="J1915" s="58" t="s">
        <v>1</v>
      </c>
      <c r="K1915">
        <v>3.8</v>
      </c>
      <c r="L1915" s="26">
        <v>3.6</v>
      </c>
      <c r="M1915" s="58">
        <v>167</v>
      </c>
      <c r="N1915" s="59" t="s">
        <v>75</v>
      </c>
      <c r="O1915" s="61" t="s">
        <v>1585</v>
      </c>
    </row>
    <row r="1916" spans="1:15" ht="60" x14ac:dyDescent="0.25">
      <c r="A1916">
        <v>10261</v>
      </c>
      <c r="B1916">
        <v>10</v>
      </c>
      <c r="C1916" s="56" t="s">
        <v>103</v>
      </c>
      <c r="D1916">
        <v>2018</v>
      </c>
      <c r="E1916">
        <v>7</v>
      </c>
      <c r="F1916" s="57">
        <v>10.06</v>
      </c>
      <c r="G1916">
        <v>16</v>
      </c>
      <c r="H1916" s="58">
        <v>-28.568000000000001</v>
      </c>
      <c r="I1916" s="57">
        <v>24.7898</v>
      </c>
      <c r="J1916" s="58" t="s">
        <v>1</v>
      </c>
      <c r="L1916" s="26"/>
      <c r="M1916" s="58">
        <v>20</v>
      </c>
      <c r="N1916" s="59" t="s">
        <v>6</v>
      </c>
      <c r="O1916" s="105" t="s">
        <v>1586</v>
      </c>
    </row>
    <row r="1917" spans="1:15" x14ac:dyDescent="0.25">
      <c r="A1917">
        <v>10262</v>
      </c>
      <c r="B1917">
        <v>11</v>
      </c>
      <c r="C1917" s="56" t="s">
        <v>103</v>
      </c>
      <c r="D1917">
        <v>2018</v>
      </c>
      <c r="E1917">
        <v>5</v>
      </c>
      <c r="F1917" s="57">
        <v>25.25</v>
      </c>
      <c r="G1917">
        <v>3</v>
      </c>
      <c r="H1917" s="58">
        <v>34.363900000000001</v>
      </c>
      <c r="I1917" s="57">
        <v>4.0829000000000004</v>
      </c>
      <c r="J1917" s="58" t="s">
        <v>1</v>
      </c>
      <c r="K1917">
        <v>4</v>
      </c>
      <c r="L1917" s="26">
        <v>3.5</v>
      </c>
      <c r="M1917" s="58">
        <v>174</v>
      </c>
      <c r="N1917" s="59" t="s">
        <v>777</v>
      </c>
      <c r="O1917" s="105" t="s">
        <v>1587</v>
      </c>
    </row>
    <row r="1918" spans="1:15" ht="60" x14ac:dyDescent="0.25">
      <c r="A1918">
        <v>10263</v>
      </c>
      <c r="B1918">
        <v>11</v>
      </c>
      <c r="C1918" s="56" t="s">
        <v>103</v>
      </c>
      <c r="D1918">
        <v>2018</v>
      </c>
      <c r="E1918">
        <v>22</v>
      </c>
      <c r="F1918" s="57">
        <v>45.37</v>
      </c>
      <c r="G1918">
        <v>8</v>
      </c>
      <c r="H1918" s="58">
        <v>-27.475000000000001</v>
      </c>
      <c r="I1918" s="57">
        <v>26.060199999999998</v>
      </c>
      <c r="J1918" s="58" t="s">
        <v>1</v>
      </c>
      <c r="K1918">
        <v>4.5</v>
      </c>
      <c r="L1918" s="26"/>
      <c r="M1918" s="58">
        <v>133</v>
      </c>
      <c r="N1918" s="59" t="s">
        <v>6</v>
      </c>
      <c r="O1918" s="105" t="s">
        <v>1463</v>
      </c>
    </row>
    <row r="1919" spans="1:15" ht="30" x14ac:dyDescent="0.25">
      <c r="A1919">
        <v>10264</v>
      </c>
      <c r="B1919">
        <v>11</v>
      </c>
      <c r="C1919" s="56" t="s">
        <v>103</v>
      </c>
      <c r="D1919">
        <v>2018</v>
      </c>
      <c r="E1919">
        <v>24</v>
      </c>
      <c r="F1919" s="57">
        <v>7.58</v>
      </c>
      <c r="G1919">
        <v>14</v>
      </c>
      <c r="H1919" s="58">
        <v>-20.701699999999999</v>
      </c>
      <c r="I1919" s="57">
        <v>25.9191</v>
      </c>
      <c r="J1919" s="58" t="s">
        <v>1</v>
      </c>
      <c r="K1919">
        <v>4.2</v>
      </c>
      <c r="L1919" s="26">
        <v>3.4</v>
      </c>
      <c r="M1919" s="58">
        <v>93</v>
      </c>
      <c r="N1919" s="59" t="s">
        <v>66</v>
      </c>
      <c r="O1919" s="105" t="s">
        <v>1588</v>
      </c>
    </row>
    <row r="1920" spans="1:15" ht="60" x14ac:dyDescent="0.25">
      <c r="A1920">
        <v>10265</v>
      </c>
      <c r="B1920">
        <v>11</v>
      </c>
      <c r="C1920" s="56" t="s">
        <v>103</v>
      </c>
      <c r="D1920">
        <v>2018</v>
      </c>
      <c r="E1920">
        <v>59</v>
      </c>
      <c r="F1920" s="57">
        <v>48.46</v>
      </c>
      <c r="G1920">
        <v>17</v>
      </c>
      <c r="H1920" s="58">
        <v>-27.359000000000002</v>
      </c>
      <c r="I1920" s="57">
        <v>24.553100000000001</v>
      </c>
      <c r="J1920" s="58" t="s">
        <v>1</v>
      </c>
      <c r="K1920">
        <v>4.2</v>
      </c>
      <c r="L1920" s="26"/>
      <c r="M1920" s="58">
        <v>57</v>
      </c>
      <c r="N1920" s="59" t="s">
        <v>6</v>
      </c>
      <c r="O1920" s="105" t="s">
        <v>1324</v>
      </c>
    </row>
    <row r="1921" spans="1:15" ht="30" x14ac:dyDescent="0.25">
      <c r="A1921">
        <v>10266</v>
      </c>
      <c r="B1921">
        <v>11</v>
      </c>
      <c r="C1921" s="56" t="s">
        <v>103</v>
      </c>
      <c r="D1921">
        <v>2018</v>
      </c>
      <c r="E1921">
        <v>4</v>
      </c>
      <c r="F1921" s="57">
        <v>49.72</v>
      </c>
      <c r="G1921">
        <v>18</v>
      </c>
      <c r="H1921" s="58">
        <v>5.7750000000000004</v>
      </c>
      <c r="I1921" s="57">
        <v>-4.7507000000000001</v>
      </c>
      <c r="J1921" s="58" t="s">
        <v>1</v>
      </c>
      <c r="K1921">
        <v>4.4000000000000004</v>
      </c>
      <c r="L1921" s="26">
        <v>2.4</v>
      </c>
      <c r="M1921" s="58">
        <v>95</v>
      </c>
      <c r="N1921" s="59" t="s">
        <v>1310</v>
      </c>
      <c r="O1921" s="105" t="s">
        <v>1589</v>
      </c>
    </row>
    <row r="1922" spans="1:15" ht="60" x14ac:dyDescent="0.25">
      <c r="A1922">
        <v>10267</v>
      </c>
      <c r="B1922">
        <v>11</v>
      </c>
      <c r="C1922" s="56" t="s">
        <v>103</v>
      </c>
      <c r="D1922">
        <v>2018</v>
      </c>
      <c r="E1922">
        <v>3</v>
      </c>
      <c r="F1922" s="57">
        <v>5.23</v>
      </c>
      <c r="G1922">
        <v>23</v>
      </c>
      <c r="H1922" s="58">
        <v>-28.835699999999999</v>
      </c>
      <c r="I1922" s="57">
        <v>24.727399999999999</v>
      </c>
      <c r="J1922" s="58" t="s">
        <v>1</v>
      </c>
      <c r="K1922">
        <v>4.2</v>
      </c>
      <c r="L1922" s="26"/>
      <c r="M1922" s="58">
        <v>154</v>
      </c>
      <c r="N1922" s="59" t="s">
        <v>6</v>
      </c>
      <c r="O1922" s="105" t="s">
        <v>1586</v>
      </c>
    </row>
    <row r="1923" spans="1:15" ht="30" x14ac:dyDescent="0.25">
      <c r="A1923">
        <v>10268</v>
      </c>
      <c r="B1923">
        <v>12</v>
      </c>
      <c r="C1923" s="56" t="s">
        <v>103</v>
      </c>
      <c r="D1923">
        <v>2018</v>
      </c>
      <c r="E1923">
        <v>7</v>
      </c>
      <c r="F1923" s="57">
        <v>59.15</v>
      </c>
      <c r="G1923">
        <v>7</v>
      </c>
      <c r="H1923" s="58">
        <v>19.212599999999998</v>
      </c>
      <c r="I1923" s="57">
        <v>-5.9859999999999998</v>
      </c>
      <c r="J1923" s="58" t="s">
        <v>1</v>
      </c>
      <c r="K1923">
        <v>3.9</v>
      </c>
      <c r="L1923" s="26"/>
      <c r="M1923" s="58">
        <v>173</v>
      </c>
      <c r="N1923" s="59" t="s">
        <v>799</v>
      </c>
      <c r="O1923" s="105" t="s">
        <v>1342</v>
      </c>
    </row>
    <row r="1924" spans="1:15" x14ac:dyDescent="0.25">
      <c r="A1924">
        <v>10269</v>
      </c>
      <c r="B1924">
        <v>13</v>
      </c>
      <c r="C1924" s="56" t="s">
        <v>103</v>
      </c>
      <c r="D1924">
        <v>2018</v>
      </c>
      <c r="E1924">
        <v>5</v>
      </c>
      <c r="F1924" s="57">
        <v>12.73</v>
      </c>
      <c r="G1924">
        <v>10</v>
      </c>
      <c r="H1924" s="58">
        <v>29.904</v>
      </c>
      <c r="I1924" s="57">
        <v>9.5535999999999994</v>
      </c>
      <c r="J1924" s="58" t="s">
        <v>1</v>
      </c>
      <c r="K1924">
        <v>4.5999999999999996</v>
      </c>
      <c r="L1924" s="26"/>
      <c r="M1924" s="58">
        <v>27</v>
      </c>
      <c r="N1924" s="59" t="s">
        <v>48</v>
      </c>
      <c r="O1924" s="105" t="s">
        <v>1590</v>
      </c>
    </row>
    <row r="1925" spans="1:15" x14ac:dyDescent="0.25">
      <c r="A1925">
        <v>10270</v>
      </c>
      <c r="B1925">
        <v>13</v>
      </c>
      <c r="C1925" s="56" t="s">
        <v>103</v>
      </c>
      <c r="D1925">
        <v>2018</v>
      </c>
      <c r="E1925">
        <v>49</v>
      </c>
      <c r="F1925" s="57">
        <v>1.01</v>
      </c>
      <c r="G1925">
        <v>10</v>
      </c>
      <c r="H1925" s="58">
        <v>35.815300000000001</v>
      </c>
      <c r="I1925" s="57">
        <v>9.3515999999999995</v>
      </c>
      <c r="J1925" s="58" t="s">
        <v>1</v>
      </c>
      <c r="K1925">
        <v>3.4</v>
      </c>
      <c r="L1925" s="26"/>
      <c r="M1925" s="58">
        <v>3</v>
      </c>
      <c r="N1925" s="59" t="s">
        <v>2</v>
      </c>
      <c r="O1925" s="105" t="s">
        <v>1591</v>
      </c>
    </row>
    <row r="1926" spans="1:15" x14ac:dyDescent="0.25">
      <c r="A1926">
        <v>10271</v>
      </c>
      <c r="B1926">
        <v>14</v>
      </c>
      <c r="C1926" s="56" t="s">
        <v>103</v>
      </c>
      <c r="D1926">
        <v>2018</v>
      </c>
      <c r="E1926">
        <v>47</v>
      </c>
      <c r="F1926" s="57">
        <v>30.66</v>
      </c>
      <c r="G1926">
        <v>10</v>
      </c>
      <c r="H1926" s="58">
        <v>35.9801</v>
      </c>
      <c r="I1926" s="57">
        <v>8.5485000000000007</v>
      </c>
      <c r="J1926" s="58" t="s">
        <v>1</v>
      </c>
      <c r="K1926">
        <v>4</v>
      </c>
      <c r="L1926" s="26"/>
      <c r="M1926" s="58">
        <v>46</v>
      </c>
      <c r="N1926" s="59" t="s">
        <v>2</v>
      </c>
      <c r="O1926" s="105" t="s">
        <v>1384</v>
      </c>
    </row>
    <row r="1927" spans="1:15" ht="30" x14ac:dyDescent="0.25">
      <c r="A1927">
        <v>10272</v>
      </c>
      <c r="B1927">
        <v>14</v>
      </c>
      <c r="C1927" s="56" t="s">
        <v>103</v>
      </c>
      <c r="D1927">
        <v>2018</v>
      </c>
      <c r="E1927">
        <v>44</v>
      </c>
      <c r="F1927" s="57">
        <v>16.03</v>
      </c>
      <c r="G1927">
        <v>14</v>
      </c>
      <c r="H1927" s="58">
        <v>23.0184</v>
      </c>
      <c r="I1927" s="57">
        <v>-11.254</v>
      </c>
      <c r="J1927" s="58" t="s">
        <v>1</v>
      </c>
      <c r="K1927">
        <v>3.6</v>
      </c>
      <c r="L1927" s="26">
        <v>3.7</v>
      </c>
      <c r="M1927" s="58">
        <v>84</v>
      </c>
      <c r="N1927" s="59" t="s">
        <v>799</v>
      </c>
      <c r="O1927" s="105" t="s">
        <v>800</v>
      </c>
    </row>
    <row r="1928" spans="1:15" ht="60" x14ac:dyDescent="0.25">
      <c r="A1928">
        <v>10273</v>
      </c>
      <c r="B1928">
        <v>14</v>
      </c>
      <c r="C1928" s="56" t="s">
        <v>103</v>
      </c>
      <c r="D1928">
        <v>2018</v>
      </c>
      <c r="E1928">
        <v>41</v>
      </c>
      <c r="F1928" s="57">
        <v>34.840000000000003</v>
      </c>
      <c r="G1928">
        <v>16</v>
      </c>
      <c r="H1928" s="58">
        <v>-27.9346</v>
      </c>
      <c r="I1928" s="57">
        <v>27.0457</v>
      </c>
      <c r="J1928" s="58" t="s">
        <v>1592</v>
      </c>
      <c r="K1928">
        <v>4</v>
      </c>
      <c r="L1928" s="26"/>
      <c r="M1928" s="58">
        <v>112</v>
      </c>
      <c r="N1928" s="59" t="s">
        <v>6</v>
      </c>
      <c r="O1928" s="105" t="s">
        <v>1316</v>
      </c>
    </row>
    <row r="1929" spans="1:15" ht="30" x14ac:dyDescent="0.25">
      <c r="A1929">
        <v>10274</v>
      </c>
      <c r="B1929">
        <v>15</v>
      </c>
      <c r="C1929" s="56" t="s">
        <v>103</v>
      </c>
      <c r="D1929">
        <v>2018</v>
      </c>
      <c r="E1929">
        <v>38</v>
      </c>
      <c r="F1929" s="57">
        <v>35.14</v>
      </c>
      <c r="G1929">
        <v>12</v>
      </c>
      <c r="H1929" s="58">
        <v>5.7553999999999998</v>
      </c>
      <c r="I1929" s="57">
        <v>-3.8283999999999998</v>
      </c>
      <c r="J1929" s="58" t="s">
        <v>1</v>
      </c>
      <c r="K1929">
        <v>4.3</v>
      </c>
      <c r="L1929" s="26"/>
      <c r="M1929" s="58">
        <v>54</v>
      </c>
      <c r="N1929" s="59" t="s">
        <v>1310</v>
      </c>
      <c r="O1929" s="105" t="s">
        <v>1593</v>
      </c>
    </row>
    <row r="1930" spans="1:15" ht="60" x14ac:dyDescent="0.25">
      <c r="A1930">
        <v>10275</v>
      </c>
      <c r="B1930">
        <v>15</v>
      </c>
      <c r="C1930" s="56" t="s">
        <v>103</v>
      </c>
      <c r="D1930">
        <v>2018</v>
      </c>
      <c r="E1930">
        <v>17</v>
      </c>
      <c r="F1930" s="57">
        <v>59.63</v>
      </c>
      <c r="G1930">
        <v>15</v>
      </c>
      <c r="H1930" s="58">
        <v>-29.132100000000001</v>
      </c>
      <c r="I1930" s="57">
        <v>29.543800000000001</v>
      </c>
      <c r="J1930" s="58" t="s">
        <v>1</v>
      </c>
      <c r="K1930">
        <v>4.4000000000000004</v>
      </c>
      <c r="L1930" s="26">
        <v>2.6</v>
      </c>
      <c r="M1930" s="58">
        <v>12</v>
      </c>
      <c r="N1930" s="59" t="s">
        <v>6</v>
      </c>
      <c r="O1930" s="105" t="s">
        <v>1594</v>
      </c>
    </row>
    <row r="1931" spans="1:15" ht="45" x14ac:dyDescent="0.25">
      <c r="A1931">
        <v>10276</v>
      </c>
      <c r="B1931">
        <v>15</v>
      </c>
      <c r="C1931" s="56" t="s">
        <v>103</v>
      </c>
      <c r="D1931">
        <v>2018</v>
      </c>
      <c r="E1931">
        <v>41</v>
      </c>
      <c r="F1931" s="57">
        <v>18.93</v>
      </c>
      <c r="G1931">
        <v>17</v>
      </c>
      <c r="H1931" s="58">
        <v>26.099900000000002</v>
      </c>
      <c r="I1931" s="57">
        <v>-9.8521000000000001</v>
      </c>
      <c r="J1931" s="58" t="s">
        <v>1</v>
      </c>
      <c r="K1931">
        <v>3.8</v>
      </c>
      <c r="L1931" s="26">
        <v>3.5</v>
      </c>
      <c r="M1931" s="58">
        <v>123</v>
      </c>
      <c r="N1931" s="59" t="s">
        <v>1414</v>
      </c>
      <c r="O1931" s="61" t="s">
        <v>1595</v>
      </c>
    </row>
    <row r="1932" spans="1:15" x14ac:dyDescent="0.25">
      <c r="A1932">
        <v>10277</v>
      </c>
      <c r="B1932">
        <v>16</v>
      </c>
      <c r="C1932" s="56" t="s">
        <v>103</v>
      </c>
      <c r="D1932">
        <v>2018</v>
      </c>
      <c r="E1932">
        <v>2</v>
      </c>
      <c r="F1932" s="57">
        <v>58.1</v>
      </c>
      <c r="G1932">
        <v>3</v>
      </c>
      <c r="H1932" s="58">
        <v>35.674900000000001</v>
      </c>
      <c r="I1932" s="57">
        <v>7.5734000000000004</v>
      </c>
      <c r="J1932" s="58" t="s">
        <v>1</v>
      </c>
      <c r="K1932">
        <v>3.6</v>
      </c>
      <c r="L1932" s="26"/>
      <c r="M1932" s="58">
        <v>1</v>
      </c>
      <c r="N1932" s="59" t="s">
        <v>777</v>
      </c>
      <c r="O1932" s="105" t="s">
        <v>1596</v>
      </c>
    </row>
    <row r="1933" spans="1:15" ht="30" x14ac:dyDescent="0.25">
      <c r="A1933">
        <v>10278</v>
      </c>
      <c r="B1933">
        <v>16</v>
      </c>
      <c r="C1933" s="56" t="s">
        <v>103</v>
      </c>
      <c r="D1933">
        <v>2018</v>
      </c>
      <c r="E1933">
        <v>38</v>
      </c>
      <c r="F1933" s="57">
        <v>5.7</v>
      </c>
      <c r="G1933">
        <v>12</v>
      </c>
      <c r="H1933" s="58">
        <v>12.208500000000001</v>
      </c>
      <c r="I1933" s="57">
        <v>1.9623999999999999</v>
      </c>
      <c r="J1933" s="58" t="s">
        <v>1</v>
      </c>
      <c r="K1933">
        <v>3.9</v>
      </c>
      <c r="L1933" s="26"/>
      <c r="M1933" s="58">
        <v>16</v>
      </c>
      <c r="N1933" s="59" t="s">
        <v>1334</v>
      </c>
      <c r="O1933" s="105" t="s">
        <v>1417</v>
      </c>
    </row>
    <row r="1934" spans="1:15" ht="60" x14ac:dyDescent="0.25">
      <c r="A1934">
        <v>10279</v>
      </c>
      <c r="B1934">
        <v>18</v>
      </c>
      <c r="C1934" s="56" t="s">
        <v>103</v>
      </c>
      <c r="D1934">
        <v>2018</v>
      </c>
      <c r="E1934">
        <v>33</v>
      </c>
      <c r="F1934" s="57">
        <v>39.590000000000003</v>
      </c>
      <c r="G1934">
        <v>7</v>
      </c>
      <c r="H1934" s="58">
        <v>-32.168100000000003</v>
      </c>
      <c r="I1934" s="57">
        <v>26.029699999999998</v>
      </c>
      <c r="J1934" s="58" t="s">
        <v>1</v>
      </c>
      <c r="L1934" s="26"/>
      <c r="M1934" s="58">
        <v>81</v>
      </c>
      <c r="N1934" s="59" t="s">
        <v>6</v>
      </c>
      <c r="O1934" s="105" t="s">
        <v>1597</v>
      </c>
    </row>
    <row r="1935" spans="1:15" ht="60" x14ac:dyDescent="0.25">
      <c r="A1935">
        <v>10280</v>
      </c>
      <c r="B1935">
        <v>18</v>
      </c>
      <c r="C1935" s="56" t="s">
        <v>103</v>
      </c>
      <c r="D1935">
        <v>2018</v>
      </c>
      <c r="E1935">
        <v>6</v>
      </c>
      <c r="F1935" s="57">
        <v>41.1</v>
      </c>
      <c r="G1935">
        <v>11</v>
      </c>
      <c r="H1935" s="58">
        <v>-28.877099999999999</v>
      </c>
      <c r="I1935" s="57">
        <v>25.489899999999999</v>
      </c>
      <c r="J1935" s="58" t="s">
        <v>1</v>
      </c>
      <c r="L1935" s="26"/>
      <c r="M1935" s="58">
        <v>46</v>
      </c>
      <c r="N1935" s="59" t="s">
        <v>6</v>
      </c>
      <c r="O1935" s="105" t="s">
        <v>789</v>
      </c>
    </row>
    <row r="1936" spans="1:15" x14ac:dyDescent="0.25">
      <c r="A1936">
        <v>10281</v>
      </c>
      <c r="B1936">
        <v>19</v>
      </c>
      <c r="C1936" s="56" t="s">
        <v>103</v>
      </c>
      <c r="D1936">
        <v>2018</v>
      </c>
      <c r="E1936">
        <v>0</v>
      </c>
      <c r="F1936" s="57">
        <v>50.51</v>
      </c>
      <c r="G1936">
        <v>10</v>
      </c>
      <c r="H1936" s="58">
        <v>35.981400000000001</v>
      </c>
      <c r="I1936" s="57">
        <v>1.3588</v>
      </c>
      <c r="J1936" s="58" t="s">
        <v>1</v>
      </c>
      <c r="K1936">
        <v>4.0999999999999996</v>
      </c>
      <c r="L1936" s="26"/>
      <c r="M1936" s="58">
        <v>5</v>
      </c>
      <c r="N1936" s="59" t="s">
        <v>777</v>
      </c>
      <c r="O1936" s="105" t="s">
        <v>1598</v>
      </c>
    </row>
    <row r="1937" spans="1:15" ht="60" x14ac:dyDescent="0.25">
      <c r="A1937">
        <v>10282</v>
      </c>
      <c r="B1937">
        <v>19</v>
      </c>
      <c r="C1937" s="56" t="s">
        <v>103</v>
      </c>
      <c r="D1937">
        <v>2018</v>
      </c>
      <c r="E1937">
        <v>34</v>
      </c>
      <c r="F1937" s="57">
        <v>40.049999999999997</v>
      </c>
      <c r="G1937">
        <v>14</v>
      </c>
      <c r="H1937" s="58">
        <v>-27.986999999999998</v>
      </c>
      <c r="I1937" s="57">
        <v>23.5853</v>
      </c>
      <c r="J1937" s="58" t="s">
        <v>1</v>
      </c>
      <c r="K1937">
        <v>4.0999999999999996</v>
      </c>
      <c r="L1937" s="26"/>
      <c r="M1937" s="58">
        <v>26</v>
      </c>
      <c r="N1937" s="59" t="s">
        <v>6</v>
      </c>
      <c r="O1937" s="105" t="s">
        <v>926</v>
      </c>
    </row>
    <row r="1938" spans="1:15" ht="30" x14ac:dyDescent="0.25">
      <c r="A1938">
        <v>10283</v>
      </c>
      <c r="B1938">
        <v>19</v>
      </c>
      <c r="C1938" s="56" t="s">
        <v>103</v>
      </c>
      <c r="D1938">
        <v>2018</v>
      </c>
      <c r="E1938">
        <v>46</v>
      </c>
      <c r="F1938" s="57">
        <v>6.25</v>
      </c>
      <c r="G1938">
        <v>14</v>
      </c>
      <c r="H1938" s="58">
        <v>6.1843000000000004</v>
      </c>
      <c r="I1938" s="57">
        <v>39.417200000000001</v>
      </c>
      <c r="J1938" s="58" t="s">
        <v>1</v>
      </c>
      <c r="K1938">
        <v>3.9</v>
      </c>
      <c r="L1938" s="26"/>
      <c r="M1938" s="58">
        <v>101</v>
      </c>
      <c r="N1938" s="59" t="s">
        <v>57</v>
      </c>
      <c r="O1938" s="61" t="s">
        <v>1324</v>
      </c>
    </row>
    <row r="1939" spans="1:15" ht="30" x14ac:dyDescent="0.25">
      <c r="A1939">
        <v>10284</v>
      </c>
      <c r="B1939">
        <v>19</v>
      </c>
      <c r="C1939" s="56" t="s">
        <v>103</v>
      </c>
      <c r="D1939">
        <v>2018</v>
      </c>
      <c r="E1939">
        <v>39</v>
      </c>
      <c r="F1939" s="57">
        <v>36.6</v>
      </c>
      <c r="G1939">
        <v>19</v>
      </c>
      <c r="H1939" s="58">
        <v>-23.810700000000001</v>
      </c>
      <c r="I1939" s="57">
        <v>24.963899999999999</v>
      </c>
      <c r="J1939" s="58" t="s">
        <v>1</v>
      </c>
      <c r="K1939">
        <v>3.5</v>
      </c>
      <c r="L1939" s="26"/>
      <c r="M1939" s="58">
        <v>95</v>
      </c>
      <c r="N1939" s="59" t="s">
        <v>66</v>
      </c>
      <c r="O1939" s="105" t="s">
        <v>1599</v>
      </c>
    </row>
    <row r="1940" spans="1:15" ht="30" x14ac:dyDescent="0.25">
      <c r="A1940">
        <v>10285</v>
      </c>
      <c r="B1940" s="8">
        <v>20</v>
      </c>
      <c r="C1940" s="56" t="s">
        <v>103</v>
      </c>
      <c r="D1940">
        <v>2018</v>
      </c>
      <c r="E1940" s="8">
        <v>17</v>
      </c>
      <c r="F1940" s="9">
        <v>25.27</v>
      </c>
      <c r="G1940" s="8">
        <v>16</v>
      </c>
      <c r="H1940" s="11">
        <v>6.0331000000000001</v>
      </c>
      <c r="I1940" s="9">
        <v>-4.4238999999999997</v>
      </c>
      <c r="J1940" s="11" t="s">
        <v>1</v>
      </c>
      <c r="K1940" s="8">
        <v>4.0999999999999996</v>
      </c>
      <c r="L1940" s="11"/>
      <c r="M1940" s="11">
        <v>95</v>
      </c>
      <c r="N1940" s="12" t="s">
        <v>1310</v>
      </c>
      <c r="O1940" s="106" t="s">
        <v>1600</v>
      </c>
    </row>
    <row r="1941" spans="1:15" x14ac:dyDescent="0.25">
      <c r="A1941">
        <v>10286</v>
      </c>
      <c r="B1941">
        <v>21</v>
      </c>
      <c r="C1941" s="56" t="s">
        <v>103</v>
      </c>
      <c r="D1941">
        <v>2018</v>
      </c>
      <c r="E1941">
        <v>49</v>
      </c>
      <c r="F1941">
        <v>10.9</v>
      </c>
      <c r="G1941">
        <v>3</v>
      </c>
      <c r="H1941">
        <v>24.346900000000002</v>
      </c>
      <c r="I1941">
        <v>23.004300000000001</v>
      </c>
      <c r="J1941" t="s">
        <v>1</v>
      </c>
      <c r="K1941">
        <v>3.8</v>
      </c>
      <c r="L1941">
        <v>3.1</v>
      </c>
      <c r="M1941" s="58">
        <v>37</v>
      </c>
      <c r="N1941" s="58" t="s">
        <v>48</v>
      </c>
      <c r="O1941" t="s">
        <v>1601</v>
      </c>
    </row>
    <row r="1942" spans="1:15" x14ac:dyDescent="0.25">
      <c r="A1942">
        <v>10287</v>
      </c>
      <c r="B1942">
        <v>21</v>
      </c>
      <c r="C1942" s="56" t="s">
        <v>103</v>
      </c>
      <c r="D1942">
        <v>2018</v>
      </c>
      <c r="E1942">
        <v>20</v>
      </c>
      <c r="F1942">
        <v>0.49</v>
      </c>
      <c r="G1942">
        <v>9</v>
      </c>
      <c r="H1942">
        <v>-22.8535</v>
      </c>
      <c r="I1942">
        <v>29.7226</v>
      </c>
      <c r="J1942" t="s">
        <v>1</v>
      </c>
      <c r="K1942">
        <v>3.8</v>
      </c>
      <c r="L1942">
        <v>3.2</v>
      </c>
      <c r="M1942" s="58">
        <v>115</v>
      </c>
      <c r="N1942" s="58" t="s">
        <v>6</v>
      </c>
      <c r="O1942" t="s">
        <v>1602</v>
      </c>
    </row>
    <row r="1943" spans="1:15" x14ac:dyDescent="0.25">
      <c r="A1943">
        <v>10288</v>
      </c>
      <c r="B1943">
        <v>21</v>
      </c>
      <c r="C1943" s="56" t="s">
        <v>103</v>
      </c>
      <c r="D1943">
        <v>2018</v>
      </c>
      <c r="E1943">
        <v>45</v>
      </c>
      <c r="F1943">
        <v>34.22</v>
      </c>
      <c r="G1943">
        <v>11</v>
      </c>
      <c r="H1943">
        <v>-26.453499999999998</v>
      </c>
      <c r="I1943">
        <v>29.523299999999999</v>
      </c>
      <c r="J1943" t="s">
        <v>1</v>
      </c>
      <c r="K1943">
        <v>4.4000000000000004</v>
      </c>
      <c r="L1943">
        <v>2.8</v>
      </c>
      <c r="M1943" s="58">
        <v>147</v>
      </c>
      <c r="N1943" s="58" t="s">
        <v>693</v>
      </c>
      <c r="O1943" t="s">
        <v>622</v>
      </c>
    </row>
    <row r="1944" spans="1:15" x14ac:dyDescent="0.25">
      <c r="A1944">
        <v>10289</v>
      </c>
      <c r="B1944">
        <v>21</v>
      </c>
      <c r="C1944" s="56" t="s">
        <v>103</v>
      </c>
      <c r="D1944">
        <v>2018</v>
      </c>
      <c r="E1944">
        <v>45</v>
      </c>
      <c r="F1944">
        <v>6.83</v>
      </c>
      <c r="G1944">
        <v>13</v>
      </c>
      <c r="H1944">
        <v>34.540900000000001</v>
      </c>
      <c r="I1944">
        <v>10.181699999999999</v>
      </c>
      <c r="J1944" t="s">
        <v>1</v>
      </c>
      <c r="K1944">
        <v>4.0999999999999996</v>
      </c>
      <c r="M1944" s="58">
        <v>30</v>
      </c>
      <c r="N1944" s="58" t="s">
        <v>1078</v>
      </c>
      <c r="O1944" t="s">
        <v>1603</v>
      </c>
    </row>
    <row r="1945" spans="1:15" x14ac:dyDescent="0.25">
      <c r="A1945">
        <v>10290</v>
      </c>
      <c r="B1945">
        <v>21</v>
      </c>
      <c r="C1945" s="56" t="s">
        <v>103</v>
      </c>
      <c r="D1945">
        <v>2018</v>
      </c>
      <c r="E1945">
        <v>19</v>
      </c>
      <c r="F1945">
        <v>59.39</v>
      </c>
      <c r="G1945">
        <v>14</v>
      </c>
      <c r="H1945">
        <v>-23.572199999999999</v>
      </c>
      <c r="I1945">
        <v>41.327500000000001</v>
      </c>
      <c r="J1945" t="s">
        <v>1</v>
      </c>
      <c r="K1945">
        <v>3.8</v>
      </c>
      <c r="M1945" s="58">
        <v>40</v>
      </c>
      <c r="N1945" s="58" t="s">
        <v>75</v>
      </c>
      <c r="O1945" t="s">
        <v>1604</v>
      </c>
    </row>
    <row r="1946" spans="1:15" x14ac:dyDescent="0.25">
      <c r="A1946">
        <v>10291</v>
      </c>
      <c r="B1946">
        <v>21</v>
      </c>
      <c r="C1946" s="56" t="s">
        <v>103</v>
      </c>
      <c r="D1946">
        <v>2018</v>
      </c>
      <c r="E1946">
        <v>1</v>
      </c>
      <c r="F1946">
        <v>45.74</v>
      </c>
      <c r="G1946">
        <v>18</v>
      </c>
      <c r="H1946">
        <v>-29.746700000000001</v>
      </c>
      <c r="I1946">
        <v>24.268999999999998</v>
      </c>
      <c r="J1946" t="s">
        <v>1</v>
      </c>
      <c r="K1946">
        <v>4.3</v>
      </c>
      <c r="M1946" s="58">
        <v>135</v>
      </c>
      <c r="N1946" s="58" t="s">
        <v>693</v>
      </c>
      <c r="O1946" t="s">
        <v>1605</v>
      </c>
    </row>
    <row r="1947" spans="1:15" x14ac:dyDescent="0.25">
      <c r="A1947">
        <v>10292</v>
      </c>
      <c r="B1947">
        <v>22</v>
      </c>
      <c r="C1947" s="56" t="s">
        <v>103</v>
      </c>
      <c r="D1947">
        <v>2018</v>
      </c>
      <c r="E1947">
        <v>10</v>
      </c>
      <c r="F1947">
        <v>20.96</v>
      </c>
      <c r="G1947">
        <v>18</v>
      </c>
      <c r="H1947">
        <v>22.864599999999999</v>
      </c>
      <c r="I1947">
        <v>-10.9354</v>
      </c>
      <c r="J1947" t="s">
        <v>1</v>
      </c>
      <c r="K1947">
        <v>4</v>
      </c>
      <c r="L1947">
        <v>3.7</v>
      </c>
      <c r="M1947" s="58">
        <v>79</v>
      </c>
      <c r="N1947" s="58" t="s">
        <v>15</v>
      </c>
      <c r="O1947" t="s">
        <v>1571</v>
      </c>
    </row>
    <row r="1948" spans="1:15" x14ac:dyDescent="0.25">
      <c r="A1948">
        <v>10293</v>
      </c>
      <c r="B1948">
        <v>22</v>
      </c>
      <c r="C1948" s="56" t="s">
        <v>103</v>
      </c>
      <c r="D1948">
        <v>2018</v>
      </c>
      <c r="E1948">
        <v>28</v>
      </c>
      <c r="F1948">
        <v>46.86</v>
      </c>
      <c r="G1948">
        <v>21</v>
      </c>
      <c r="H1948">
        <v>-16.247499999999999</v>
      </c>
      <c r="I1948">
        <v>33.959699999999998</v>
      </c>
      <c r="J1948" t="s">
        <v>1</v>
      </c>
      <c r="K1948">
        <v>4.4000000000000004</v>
      </c>
      <c r="M1948" s="58">
        <v>53</v>
      </c>
      <c r="N1948" s="58" t="s">
        <v>26</v>
      </c>
      <c r="O1948" t="s">
        <v>1606</v>
      </c>
    </row>
    <row r="1949" spans="1:15" x14ac:dyDescent="0.25">
      <c r="A1949">
        <v>10294</v>
      </c>
      <c r="B1949">
        <v>22</v>
      </c>
      <c r="C1949" s="56" t="s">
        <v>103</v>
      </c>
      <c r="D1949">
        <v>2018</v>
      </c>
      <c r="E1949">
        <v>40</v>
      </c>
      <c r="F1949">
        <v>24.72</v>
      </c>
      <c r="G1949">
        <v>21</v>
      </c>
      <c r="H1949">
        <v>29.744499999999999</v>
      </c>
      <c r="I1949">
        <v>6.9505999999999997</v>
      </c>
      <c r="J1949" t="s">
        <v>1</v>
      </c>
      <c r="L1949">
        <v>2.8</v>
      </c>
      <c r="M1949" s="58">
        <v>100</v>
      </c>
      <c r="N1949" s="58" t="s">
        <v>10</v>
      </c>
      <c r="O1949" t="s">
        <v>1607</v>
      </c>
    </row>
    <row r="1950" spans="1:15" x14ac:dyDescent="0.25">
      <c r="A1950">
        <v>10295</v>
      </c>
      <c r="B1950">
        <v>23</v>
      </c>
      <c r="C1950" s="56" t="s">
        <v>103</v>
      </c>
      <c r="D1950">
        <v>2018</v>
      </c>
      <c r="E1950">
        <v>14</v>
      </c>
      <c r="F1950">
        <v>22.75</v>
      </c>
      <c r="G1950">
        <v>0</v>
      </c>
      <c r="H1950">
        <v>5.9046000000000003</v>
      </c>
      <c r="I1950">
        <v>-4.7664999999999997</v>
      </c>
      <c r="J1950" t="s">
        <v>1</v>
      </c>
      <c r="K1950">
        <v>4.0999999999999996</v>
      </c>
      <c r="M1950" s="58">
        <v>82</v>
      </c>
      <c r="N1950" s="58" t="s">
        <v>15</v>
      </c>
      <c r="O1950" t="s">
        <v>1608</v>
      </c>
    </row>
    <row r="1951" spans="1:15" x14ac:dyDescent="0.25">
      <c r="A1951">
        <v>10296</v>
      </c>
      <c r="B1951">
        <v>23</v>
      </c>
      <c r="C1951" s="56" t="s">
        <v>103</v>
      </c>
      <c r="D1951">
        <v>2018</v>
      </c>
      <c r="E1951">
        <v>40</v>
      </c>
      <c r="F1951">
        <v>39.15</v>
      </c>
      <c r="G1951">
        <v>10</v>
      </c>
      <c r="H1951">
        <v>16.466100000000001</v>
      </c>
      <c r="I1951">
        <v>-9.1990999999999996</v>
      </c>
      <c r="J1951" t="s">
        <v>1</v>
      </c>
      <c r="K1951">
        <v>4.0999999999999996</v>
      </c>
      <c r="L1951">
        <v>5</v>
      </c>
      <c r="M1951" s="58">
        <v>79</v>
      </c>
      <c r="N1951" s="58" t="s">
        <v>15</v>
      </c>
      <c r="O1951" t="s">
        <v>1609</v>
      </c>
    </row>
    <row r="1952" spans="1:15" x14ac:dyDescent="0.25">
      <c r="A1952">
        <v>10297</v>
      </c>
      <c r="B1952">
        <v>23</v>
      </c>
      <c r="C1952" s="56" t="s">
        <v>103</v>
      </c>
      <c r="D1952">
        <v>2018</v>
      </c>
      <c r="E1952">
        <v>36</v>
      </c>
      <c r="F1952">
        <v>24.58</v>
      </c>
      <c r="G1952">
        <v>15</v>
      </c>
      <c r="H1952">
        <v>-26.4895</v>
      </c>
      <c r="I1952">
        <v>27.314299999999999</v>
      </c>
      <c r="J1952" t="s">
        <v>1</v>
      </c>
      <c r="L1952">
        <v>2</v>
      </c>
      <c r="M1952" s="58">
        <v>126</v>
      </c>
      <c r="N1952" s="58" t="s">
        <v>6</v>
      </c>
      <c r="O1952" t="s">
        <v>1610</v>
      </c>
    </row>
    <row r="1953" spans="1:15" x14ac:dyDescent="0.25">
      <c r="A1953">
        <v>10298</v>
      </c>
      <c r="B1953">
        <v>23</v>
      </c>
      <c r="C1953" s="56" t="s">
        <v>103</v>
      </c>
      <c r="D1953">
        <v>2018</v>
      </c>
      <c r="E1953">
        <v>19</v>
      </c>
      <c r="F1953">
        <v>21.71</v>
      </c>
      <c r="G1953">
        <v>18</v>
      </c>
      <c r="H1953">
        <v>34.953200000000002</v>
      </c>
      <c r="I1953">
        <v>7.6254999999999997</v>
      </c>
      <c r="J1953" t="s">
        <v>1</v>
      </c>
      <c r="K1953">
        <v>4</v>
      </c>
      <c r="M1953" s="58">
        <v>149</v>
      </c>
      <c r="N1953" s="58" t="s">
        <v>10</v>
      </c>
      <c r="O1953" t="s">
        <v>1611</v>
      </c>
    </row>
    <row r="1954" spans="1:15" x14ac:dyDescent="0.25">
      <c r="A1954">
        <v>10299</v>
      </c>
      <c r="B1954">
        <v>23</v>
      </c>
      <c r="C1954" s="56" t="s">
        <v>103</v>
      </c>
      <c r="D1954">
        <v>2018</v>
      </c>
      <c r="E1954">
        <v>57</v>
      </c>
      <c r="F1954">
        <v>24.89</v>
      </c>
      <c r="G1954">
        <v>23</v>
      </c>
      <c r="H1954">
        <v>-34.125700000000002</v>
      </c>
      <c r="I1954">
        <v>32.983800000000002</v>
      </c>
      <c r="J1954" t="s">
        <v>1</v>
      </c>
      <c r="K1954">
        <v>3.9</v>
      </c>
      <c r="L1954">
        <v>2.6</v>
      </c>
      <c r="M1954" s="58">
        <v>29</v>
      </c>
      <c r="N1954" s="58" t="s">
        <v>24</v>
      </c>
      <c r="O1954" t="s">
        <v>1612</v>
      </c>
    </row>
    <row r="1955" spans="1:15" x14ac:dyDescent="0.25">
      <c r="A1955">
        <v>10300</v>
      </c>
      <c r="B1955">
        <v>25</v>
      </c>
      <c r="C1955" s="56" t="s">
        <v>103</v>
      </c>
      <c r="D1955">
        <v>2018</v>
      </c>
      <c r="E1955">
        <v>49</v>
      </c>
      <c r="F1955">
        <v>37.04</v>
      </c>
      <c r="G1955">
        <v>19</v>
      </c>
      <c r="H1955">
        <v>-22.210699999999999</v>
      </c>
      <c r="I1955">
        <v>23.7102</v>
      </c>
      <c r="J1955" t="s">
        <v>1613</v>
      </c>
      <c r="K1955">
        <v>3.7</v>
      </c>
      <c r="M1955" s="58">
        <v>94</v>
      </c>
      <c r="N1955" s="58" t="s">
        <v>66</v>
      </c>
      <c r="O1955" t="s">
        <v>1614</v>
      </c>
    </row>
    <row r="1956" spans="1:15" x14ac:dyDescent="0.25">
      <c r="A1956">
        <v>10301</v>
      </c>
      <c r="B1956">
        <v>26</v>
      </c>
      <c r="C1956" s="56" t="s">
        <v>103</v>
      </c>
      <c r="D1956">
        <v>2018</v>
      </c>
      <c r="E1956">
        <v>7</v>
      </c>
      <c r="F1956">
        <v>54.69</v>
      </c>
      <c r="G1956">
        <v>13</v>
      </c>
      <c r="H1956">
        <v>5.2645999999999997</v>
      </c>
      <c r="I1956">
        <v>11.5753</v>
      </c>
      <c r="J1956" t="s">
        <v>1</v>
      </c>
      <c r="K1956">
        <v>4.0999999999999996</v>
      </c>
      <c r="M1956" s="58">
        <v>82</v>
      </c>
      <c r="N1956" s="58" t="s">
        <v>1615</v>
      </c>
      <c r="O1956" t="s">
        <v>1616</v>
      </c>
    </row>
    <row r="1957" spans="1:15" x14ac:dyDescent="0.25">
      <c r="A1957">
        <v>10302</v>
      </c>
      <c r="B1957">
        <v>26</v>
      </c>
      <c r="C1957" s="56" t="s">
        <v>103</v>
      </c>
      <c r="D1957">
        <v>2018</v>
      </c>
      <c r="E1957">
        <v>18</v>
      </c>
      <c r="F1957">
        <v>57.67</v>
      </c>
      <c r="G1957">
        <v>14</v>
      </c>
      <c r="H1957">
        <v>-29.553000000000001</v>
      </c>
      <c r="I1957">
        <v>25.689800000000002</v>
      </c>
      <c r="J1957" t="s">
        <v>1</v>
      </c>
      <c r="K1957">
        <v>4.0999999999999996</v>
      </c>
      <c r="M1957" s="58">
        <v>69</v>
      </c>
      <c r="N1957" s="58" t="s">
        <v>6</v>
      </c>
      <c r="O1957" t="s">
        <v>113</v>
      </c>
    </row>
    <row r="1958" spans="1:15" x14ac:dyDescent="0.25">
      <c r="A1958">
        <v>10303</v>
      </c>
      <c r="B1958">
        <v>27</v>
      </c>
      <c r="C1958" s="56" t="s">
        <v>103</v>
      </c>
      <c r="D1958">
        <v>2018</v>
      </c>
      <c r="E1958">
        <v>34</v>
      </c>
      <c r="F1958">
        <v>7.36</v>
      </c>
      <c r="G1958">
        <v>10</v>
      </c>
      <c r="H1958">
        <v>-31.296399999999998</v>
      </c>
      <c r="I1958">
        <v>27.501799999999999</v>
      </c>
      <c r="J1958" t="s">
        <v>1</v>
      </c>
      <c r="K1958">
        <v>4.2</v>
      </c>
      <c r="L1958">
        <v>2.9</v>
      </c>
      <c r="M1958" s="58">
        <v>68</v>
      </c>
      <c r="N1958" s="58" t="s">
        <v>693</v>
      </c>
      <c r="O1958" t="s">
        <v>1617</v>
      </c>
    </row>
    <row r="1959" spans="1:15" x14ac:dyDescent="0.25">
      <c r="A1959">
        <v>10304</v>
      </c>
      <c r="B1959">
        <v>27</v>
      </c>
      <c r="C1959" s="56" t="s">
        <v>103</v>
      </c>
      <c r="D1959">
        <v>2018</v>
      </c>
      <c r="E1959">
        <v>12</v>
      </c>
      <c r="F1959">
        <v>44.3</v>
      </c>
      <c r="G1959">
        <v>14</v>
      </c>
      <c r="H1959">
        <v>23.0898</v>
      </c>
      <c r="I1959">
        <v>-13.1279</v>
      </c>
      <c r="J1959" t="s">
        <v>1</v>
      </c>
      <c r="K1959">
        <v>3.8</v>
      </c>
      <c r="L1959">
        <v>3.9</v>
      </c>
      <c r="M1959" s="58">
        <v>84</v>
      </c>
      <c r="N1959" s="58" t="s">
        <v>15</v>
      </c>
      <c r="O1959" t="s">
        <v>1618</v>
      </c>
    </row>
    <row r="1960" spans="1:15" x14ac:dyDescent="0.25">
      <c r="A1960">
        <v>10305</v>
      </c>
      <c r="B1960">
        <v>27</v>
      </c>
      <c r="C1960" s="56" t="s">
        <v>103</v>
      </c>
      <c r="D1960">
        <v>2018</v>
      </c>
      <c r="E1960">
        <v>2</v>
      </c>
      <c r="F1960">
        <v>4.37</v>
      </c>
      <c r="G1960">
        <v>21</v>
      </c>
      <c r="H1960">
        <v>25.164100000000001</v>
      </c>
      <c r="I1960">
        <v>23.554099999999998</v>
      </c>
      <c r="J1960" t="s">
        <v>1</v>
      </c>
      <c r="K1960">
        <v>3.7</v>
      </c>
      <c r="M1960" s="58">
        <v>109</v>
      </c>
      <c r="N1960" s="58" t="s">
        <v>1619</v>
      </c>
      <c r="O1960" t="s">
        <v>715</v>
      </c>
    </row>
    <row r="1961" spans="1:15" x14ac:dyDescent="0.25">
      <c r="A1961">
        <v>10306</v>
      </c>
      <c r="B1961">
        <v>28</v>
      </c>
      <c r="C1961" s="56" t="s">
        <v>103</v>
      </c>
      <c r="D1961">
        <v>2018</v>
      </c>
      <c r="E1961">
        <v>25</v>
      </c>
      <c r="F1961">
        <v>23.48</v>
      </c>
      <c r="G1961">
        <v>6</v>
      </c>
      <c r="H1961">
        <v>-27.639199999999999</v>
      </c>
      <c r="I1961">
        <v>25.2745</v>
      </c>
      <c r="J1961" t="s">
        <v>1</v>
      </c>
      <c r="K1961">
        <v>4.2</v>
      </c>
      <c r="M1961" s="58">
        <v>101</v>
      </c>
      <c r="N1961" s="58" t="s">
        <v>6</v>
      </c>
      <c r="O1961" t="s">
        <v>1620</v>
      </c>
    </row>
    <row r="1962" spans="1:15" x14ac:dyDescent="0.25">
      <c r="A1962">
        <v>10307</v>
      </c>
      <c r="B1962">
        <v>28</v>
      </c>
      <c r="C1962" s="56" t="s">
        <v>103</v>
      </c>
      <c r="D1962">
        <v>2018</v>
      </c>
      <c r="E1962">
        <v>42</v>
      </c>
      <c r="F1962">
        <v>47.21</v>
      </c>
      <c r="G1962">
        <v>6</v>
      </c>
      <c r="H1962">
        <v>-30.7987</v>
      </c>
      <c r="I1962">
        <v>56.965800000000002</v>
      </c>
      <c r="J1962" t="s">
        <v>1</v>
      </c>
      <c r="K1962">
        <v>4</v>
      </c>
      <c r="M1962" s="58">
        <v>51</v>
      </c>
      <c r="N1962" s="58" t="s">
        <v>24</v>
      </c>
      <c r="O1962" t="s">
        <v>1621</v>
      </c>
    </row>
    <row r="1963" spans="1:15" x14ac:dyDescent="0.25">
      <c r="A1963">
        <v>10308</v>
      </c>
      <c r="B1963">
        <v>28</v>
      </c>
      <c r="C1963" s="56" t="s">
        <v>103</v>
      </c>
      <c r="D1963">
        <v>2018</v>
      </c>
      <c r="E1963">
        <v>52</v>
      </c>
      <c r="F1963">
        <v>18.059999999999999</v>
      </c>
      <c r="G1963">
        <v>6</v>
      </c>
      <c r="H1963">
        <v>-30.509699999999999</v>
      </c>
      <c r="I1963">
        <v>55.880099999999999</v>
      </c>
      <c r="J1963" t="s">
        <v>1</v>
      </c>
      <c r="K1963">
        <v>3.8</v>
      </c>
      <c r="M1963" s="58">
        <v>180</v>
      </c>
      <c r="N1963" s="58" t="s">
        <v>24</v>
      </c>
      <c r="O1963" t="s">
        <v>1622</v>
      </c>
    </row>
    <row r="1964" spans="1:15" x14ac:dyDescent="0.25">
      <c r="A1964">
        <v>10309</v>
      </c>
      <c r="B1964">
        <v>28</v>
      </c>
      <c r="C1964" s="56" t="s">
        <v>103</v>
      </c>
      <c r="D1964">
        <v>2018</v>
      </c>
      <c r="E1964">
        <v>56</v>
      </c>
      <c r="F1964">
        <v>24.04</v>
      </c>
      <c r="G1964">
        <v>10</v>
      </c>
      <c r="H1964">
        <v>13.311500000000001</v>
      </c>
      <c r="I1964">
        <v>2.5981000000000001</v>
      </c>
      <c r="J1964" t="s">
        <v>1</v>
      </c>
      <c r="K1964">
        <v>4.0999999999999996</v>
      </c>
      <c r="M1964" s="58">
        <v>9</v>
      </c>
      <c r="N1964" s="58" t="s">
        <v>15</v>
      </c>
      <c r="O1964" t="s">
        <v>836</v>
      </c>
    </row>
    <row r="1965" spans="1:15" x14ac:dyDescent="0.25">
      <c r="A1965">
        <v>10310</v>
      </c>
      <c r="B1965">
        <v>28</v>
      </c>
      <c r="C1965" s="56" t="s">
        <v>103</v>
      </c>
      <c r="D1965">
        <v>2018</v>
      </c>
      <c r="E1965">
        <v>23</v>
      </c>
      <c r="F1965">
        <v>34.94</v>
      </c>
      <c r="G1965">
        <v>18</v>
      </c>
      <c r="H1965">
        <v>5.5978000000000003</v>
      </c>
      <c r="I1965">
        <v>-5.5791000000000004</v>
      </c>
      <c r="J1965" t="s">
        <v>1</v>
      </c>
      <c r="K1965">
        <v>4.2</v>
      </c>
      <c r="M1965" s="58">
        <v>127</v>
      </c>
      <c r="N1965" s="58" t="s">
        <v>15</v>
      </c>
      <c r="O1965" t="s">
        <v>1623</v>
      </c>
    </row>
    <row r="1966" spans="1:15" x14ac:dyDescent="0.25">
      <c r="A1966">
        <v>10311</v>
      </c>
      <c r="B1966">
        <v>30</v>
      </c>
      <c r="C1966" s="56" t="s">
        <v>103</v>
      </c>
      <c r="D1966">
        <v>2018</v>
      </c>
      <c r="E1966">
        <v>50</v>
      </c>
      <c r="F1966">
        <v>4.68</v>
      </c>
      <c r="G1966">
        <v>12</v>
      </c>
      <c r="H1966">
        <v>-28.104399999999998</v>
      </c>
      <c r="I1966">
        <v>25.104399999999998</v>
      </c>
      <c r="J1966" t="s">
        <v>1</v>
      </c>
      <c r="K1966">
        <v>3.9</v>
      </c>
      <c r="M1966" s="58">
        <v>165</v>
      </c>
      <c r="N1966" s="58" t="s">
        <v>6</v>
      </c>
      <c r="O1966" t="s">
        <v>1624</v>
      </c>
    </row>
    <row r="1967" spans="1:15" x14ac:dyDescent="0.25">
      <c r="A1967">
        <v>10312</v>
      </c>
      <c r="B1967">
        <v>30</v>
      </c>
      <c r="C1967" s="56" t="s">
        <v>103</v>
      </c>
      <c r="D1967">
        <v>2018</v>
      </c>
      <c r="E1967">
        <v>22</v>
      </c>
      <c r="F1967">
        <v>24.97</v>
      </c>
      <c r="G1967">
        <v>17</v>
      </c>
      <c r="H1967">
        <v>-29.2715</v>
      </c>
      <c r="I1967">
        <v>25.914400000000001</v>
      </c>
      <c r="J1967" t="s">
        <v>1</v>
      </c>
      <c r="K1967">
        <v>4.3</v>
      </c>
      <c r="M1967" s="58">
        <v>42</v>
      </c>
      <c r="N1967" s="58" t="s">
        <v>6</v>
      </c>
      <c r="O1967" t="s">
        <v>69</v>
      </c>
    </row>
    <row r="1968" spans="1:15" x14ac:dyDescent="0.25">
      <c r="A1968">
        <v>10313</v>
      </c>
      <c r="B1968">
        <v>31</v>
      </c>
      <c r="C1968" s="56" t="s">
        <v>103</v>
      </c>
      <c r="D1968">
        <v>2018</v>
      </c>
      <c r="E1968">
        <v>14</v>
      </c>
      <c r="F1968">
        <v>47.37</v>
      </c>
      <c r="G1968">
        <v>1</v>
      </c>
      <c r="H1968">
        <v>29.6845</v>
      </c>
      <c r="I1968">
        <v>-8.2265999999999995</v>
      </c>
      <c r="J1968" t="s">
        <v>1</v>
      </c>
      <c r="K1968">
        <v>3</v>
      </c>
      <c r="M1968" s="58">
        <v>60</v>
      </c>
      <c r="N1968" s="58" t="s">
        <v>28</v>
      </c>
      <c r="O1968" t="s">
        <v>1625</v>
      </c>
    </row>
    <row r="1969" spans="1:15" x14ac:dyDescent="0.25">
      <c r="A1969">
        <v>10314</v>
      </c>
      <c r="B1969">
        <v>31</v>
      </c>
      <c r="C1969" s="56" t="s">
        <v>103</v>
      </c>
      <c r="D1969">
        <v>2018</v>
      </c>
      <c r="E1969">
        <v>52</v>
      </c>
      <c r="F1969">
        <v>53.15</v>
      </c>
      <c r="G1969">
        <v>3</v>
      </c>
      <c r="H1969">
        <v>-13.659800000000001</v>
      </c>
      <c r="I1969">
        <v>45.766399999999997</v>
      </c>
      <c r="J1969" t="s">
        <v>1</v>
      </c>
      <c r="K1969">
        <v>3.8</v>
      </c>
      <c r="M1969" s="58">
        <v>111</v>
      </c>
      <c r="N1969" s="58" t="s">
        <v>241</v>
      </c>
      <c r="O1969" t="s">
        <v>1626</v>
      </c>
    </row>
    <row r="1970" spans="1:15" x14ac:dyDescent="0.25">
      <c r="A1970">
        <v>10315</v>
      </c>
      <c r="B1970">
        <v>31</v>
      </c>
      <c r="C1970" s="56" t="s">
        <v>103</v>
      </c>
      <c r="D1970">
        <v>2018</v>
      </c>
      <c r="E1970">
        <v>15</v>
      </c>
      <c r="F1970">
        <v>24.14</v>
      </c>
      <c r="G1970">
        <v>14</v>
      </c>
      <c r="H1970">
        <v>-19.6966</v>
      </c>
      <c r="I1970">
        <v>29.869</v>
      </c>
      <c r="J1970">
        <v>4.3</v>
      </c>
      <c r="M1970" s="58">
        <v>123</v>
      </c>
      <c r="N1970" s="58" t="s">
        <v>1627</v>
      </c>
      <c r="O1970" t="s">
        <v>1628</v>
      </c>
    </row>
    <row r="1971" spans="1:15" x14ac:dyDescent="0.25">
      <c r="A1971">
        <v>10316</v>
      </c>
      <c r="B1971">
        <v>2</v>
      </c>
      <c r="C1971" s="56" t="s">
        <v>176</v>
      </c>
      <c r="D1971">
        <v>2018</v>
      </c>
      <c r="E1971">
        <v>32</v>
      </c>
      <c r="F1971">
        <v>41.51</v>
      </c>
      <c r="G1971">
        <v>14</v>
      </c>
      <c r="H1971">
        <v>-27.638500000000001</v>
      </c>
      <c r="I1971">
        <v>29.254799999999999</v>
      </c>
      <c r="J1971" t="s">
        <v>1</v>
      </c>
      <c r="K1971">
        <v>3.5</v>
      </c>
      <c r="L1971">
        <v>2.8</v>
      </c>
      <c r="M1971">
        <v>145</v>
      </c>
      <c r="N1971" s="58" t="s">
        <v>693</v>
      </c>
      <c r="O1971" t="s">
        <v>467</v>
      </c>
    </row>
    <row r="1972" spans="1:15" x14ac:dyDescent="0.25">
      <c r="A1972">
        <v>10317</v>
      </c>
      <c r="B1972">
        <v>3</v>
      </c>
      <c r="C1972" s="56" t="s">
        <v>176</v>
      </c>
      <c r="D1972">
        <v>2018</v>
      </c>
      <c r="E1972">
        <v>16</v>
      </c>
      <c r="F1972">
        <v>58.75</v>
      </c>
      <c r="G1972">
        <v>7</v>
      </c>
      <c r="H1972">
        <v>35.488599999999998</v>
      </c>
      <c r="I1972">
        <v>0.79649999999999999</v>
      </c>
      <c r="J1972" t="s">
        <v>1</v>
      </c>
      <c r="K1972">
        <v>3.3</v>
      </c>
      <c r="L1972">
        <v>3.8</v>
      </c>
      <c r="M1972">
        <v>54</v>
      </c>
      <c r="N1972" s="58" t="s">
        <v>10</v>
      </c>
      <c r="O1972" t="s">
        <v>1629</v>
      </c>
    </row>
    <row r="1973" spans="1:15" x14ac:dyDescent="0.25">
      <c r="A1973">
        <v>10318</v>
      </c>
      <c r="B1973">
        <v>3</v>
      </c>
      <c r="C1973" s="56" t="s">
        <v>176</v>
      </c>
      <c r="D1973">
        <v>2018</v>
      </c>
      <c r="E1973">
        <v>3</v>
      </c>
      <c r="F1973">
        <v>31.86</v>
      </c>
      <c r="G1973">
        <v>11</v>
      </c>
      <c r="H1973">
        <v>-27.912199999999999</v>
      </c>
      <c r="I1973">
        <v>25.523299999999999</v>
      </c>
      <c r="J1973" t="s">
        <v>1</v>
      </c>
      <c r="K1973">
        <v>3.9</v>
      </c>
      <c r="M1973">
        <v>121</v>
      </c>
      <c r="N1973" s="58" t="s">
        <v>6</v>
      </c>
      <c r="O1973" t="s">
        <v>1630</v>
      </c>
    </row>
    <row r="1974" spans="1:15" x14ac:dyDescent="0.25">
      <c r="A1974">
        <v>10319</v>
      </c>
      <c r="B1974">
        <v>4</v>
      </c>
      <c r="C1974" s="56" t="s">
        <v>176</v>
      </c>
      <c r="D1974">
        <v>2018</v>
      </c>
      <c r="E1974">
        <v>8</v>
      </c>
      <c r="F1974">
        <v>31.21</v>
      </c>
      <c r="G1974">
        <v>4</v>
      </c>
      <c r="H1974">
        <v>35.767800000000001</v>
      </c>
      <c r="I1974">
        <v>8.7941000000000003</v>
      </c>
      <c r="J1974" t="s">
        <v>1</v>
      </c>
      <c r="K1974">
        <v>3.3</v>
      </c>
      <c r="M1974">
        <v>29</v>
      </c>
      <c r="N1974" s="58" t="s">
        <v>1078</v>
      </c>
      <c r="O1974" t="s">
        <v>714</v>
      </c>
    </row>
    <row r="1975" spans="1:15" x14ac:dyDescent="0.25">
      <c r="A1975">
        <v>10320</v>
      </c>
      <c r="B1975">
        <v>4</v>
      </c>
      <c r="C1975" s="56" t="s">
        <v>176</v>
      </c>
      <c r="D1975">
        <v>2018</v>
      </c>
      <c r="E1975">
        <v>35</v>
      </c>
      <c r="F1975">
        <v>39.43</v>
      </c>
      <c r="G1975">
        <v>10</v>
      </c>
      <c r="H1975">
        <v>6.2412000000000001</v>
      </c>
      <c r="I1975">
        <v>5.8978999999999999</v>
      </c>
      <c r="J1975" t="s">
        <v>1631</v>
      </c>
      <c r="K1975">
        <v>3.4</v>
      </c>
      <c r="M1975">
        <v>61</v>
      </c>
      <c r="N1975" s="58" t="s">
        <v>15</v>
      </c>
      <c r="O1975" t="s">
        <v>1632</v>
      </c>
    </row>
    <row r="1976" spans="1:15" x14ac:dyDescent="0.25">
      <c r="A1976">
        <v>10321</v>
      </c>
      <c r="B1976">
        <v>4</v>
      </c>
      <c r="C1976" s="56" t="s">
        <v>176</v>
      </c>
      <c r="D1976">
        <v>2018</v>
      </c>
      <c r="E1976">
        <v>0</v>
      </c>
      <c r="F1976">
        <v>9.2200000000000006</v>
      </c>
      <c r="G1976">
        <v>14</v>
      </c>
      <c r="H1976">
        <v>22.758600000000001</v>
      </c>
      <c r="I1976">
        <v>32.491599999999998</v>
      </c>
      <c r="J1976" t="s">
        <v>1</v>
      </c>
      <c r="K1976">
        <v>3.8</v>
      </c>
      <c r="M1976">
        <v>117</v>
      </c>
      <c r="N1976" s="58" t="s">
        <v>1633</v>
      </c>
      <c r="O1976" t="s">
        <v>1634</v>
      </c>
    </row>
    <row r="1977" spans="1:15" x14ac:dyDescent="0.25">
      <c r="A1977">
        <v>10322</v>
      </c>
      <c r="B1977">
        <v>4</v>
      </c>
      <c r="C1977" s="56" t="s">
        <v>176</v>
      </c>
      <c r="D1977">
        <v>2018</v>
      </c>
      <c r="E1977">
        <v>14</v>
      </c>
      <c r="F1977">
        <v>34.19</v>
      </c>
      <c r="G1977">
        <v>20</v>
      </c>
      <c r="H1977">
        <v>35.806600000000003</v>
      </c>
      <c r="I1977">
        <v>8.9457000000000004</v>
      </c>
      <c r="J1977" t="s">
        <v>1</v>
      </c>
      <c r="K1977">
        <v>3.8</v>
      </c>
      <c r="M1977">
        <v>94</v>
      </c>
      <c r="N1977" s="58" t="s">
        <v>1635</v>
      </c>
      <c r="O1977" t="s">
        <v>1636</v>
      </c>
    </row>
    <row r="1978" spans="1:15" x14ac:dyDescent="0.25">
      <c r="A1978">
        <v>10323</v>
      </c>
      <c r="B1978">
        <v>5</v>
      </c>
      <c r="C1978" s="56" t="s">
        <v>176</v>
      </c>
      <c r="D1978">
        <v>2018</v>
      </c>
      <c r="E1978">
        <v>58</v>
      </c>
      <c r="F1978">
        <v>27.88</v>
      </c>
      <c r="G1978">
        <v>10</v>
      </c>
      <c r="H1978">
        <v>-2.7149000000000001</v>
      </c>
      <c r="I1978">
        <v>35.815899999999999</v>
      </c>
      <c r="J1978" t="s">
        <v>1</v>
      </c>
      <c r="K1978">
        <v>4.0999999999999996</v>
      </c>
      <c r="M1978">
        <v>44</v>
      </c>
      <c r="N1978" s="58" t="s">
        <v>1637</v>
      </c>
      <c r="O1978" t="s">
        <v>1638</v>
      </c>
    </row>
    <row r="1979" spans="1:15" x14ac:dyDescent="0.25">
      <c r="A1979">
        <v>10324</v>
      </c>
      <c r="B1979">
        <v>5</v>
      </c>
      <c r="C1979" s="56" t="s">
        <v>176</v>
      </c>
      <c r="D1979">
        <v>2018</v>
      </c>
      <c r="E1979">
        <v>55</v>
      </c>
      <c r="F1979">
        <v>1.6</v>
      </c>
      <c r="G1979">
        <v>14</v>
      </c>
      <c r="H1979">
        <v>-29.439900000000002</v>
      </c>
      <c r="I1979">
        <v>26.458400000000001</v>
      </c>
      <c r="J1979" t="s">
        <v>1</v>
      </c>
      <c r="K1979">
        <v>4</v>
      </c>
      <c r="M1979">
        <v>37</v>
      </c>
      <c r="N1979" s="58" t="s">
        <v>6</v>
      </c>
      <c r="O1979" t="s">
        <v>1639</v>
      </c>
    </row>
    <row r="1980" spans="1:15" x14ac:dyDescent="0.25">
      <c r="A1980">
        <v>10325</v>
      </c>
      <c r="B1980">
        <v>6</v>
      </c>
      <c r="C1980" s="56" t="s">
        <v>176</v>
      </c>
      <c r="D1980">
        <v>2018</v>
      </c>
      <c r="E1980">
        <v>18</v>
      </c>
      <c r="F1980">
        <v>4.1399999999999997</v>
      </c>
      <c r="G1980">
        <v>5</v>
      </c>
      <c r="H1980">
        <v>28.723400000000002</v>
      </c>
      <c r="I1980">
        <v>33.505600000000001</v>
      </c>
      <c r="J1980" t="s">
        <v>1</v>
      </c>
      <c r="K1980">
        <v>3.9</v>
      </c>
      <c r="L1980">
        <v>3.2</v>
      </c>
      <c r="M1980">
        <v>126</v>
      </c>
      <c r="N1980" s="58" t="s">
        <v>433</v>
      </c>
      <c r="O1980" t="s">
        <v>202</v>
      </c>
    </row>
    <row r="1981" spans="1:15" x14ac:dyDescent="0.25">
      <c r="A1981">
        <v>10326</v>
      </c>
      <c r="B1981">
        <v>6</v>
      </c>
      <c r="C1981" s="56" t="s">
        <v>176</v>
      </c>
      <c r="D1981">
        <v>2018</v>
      </c>
      <c r="E1981">
        <v>37</v>
      </c>
      <c r="F1981">
        <v>20.93</v>
      </c>
      <c r="G1981">
        <v>11</v>
      </c>
      <c r="H1981">
        <v>33.996400000000001</v>
      </c>
      <c r="I1981">
        <v>9.0167999999999999</v>
      </c>
      <c r="J1981" t="s">
        <v>1</v>
      </c>
      <c r="K1981">
        <v>3.2</v>
      </c>
      <c r="M1981">
        <v>100</v>
      </c>
      <c r="N1981" s="58" t="s">
        <v>2</v>
      </c>
      <c r="O1981" t="s">
        <v>1640</v>
      </c>
    </row>
    <row r="1982" spans="1:15" x14ac:dyDescent="0.25">
      <c r="A1982">
        <v>10327</v>
      </c>
      <c r="B1982">
        <v>6</v>
      </c>
      <c r="C1982" s="56" t="s">
        <v>176</v>
      </c>
      <c r="D1982">
        <v>2018</v>
      </c>
      <c r="E1982">
        <v>7</v>
      </c>
      <c r="F1982">
        <v>51.68</v>
      </c>
      <c r="G1982">
        <v>21</v>
      </c>
      <c r="H1982">
        <v>-7.8746</v>
      </c>
      <c r="I1982">
        <v>32.340499999999999</v>
      </c>
      <c r="J1982" t="s">
        <v>1</v>
      </c>
      <c r="K1982">
        <v>4.2</v>
      </c>
      <c r="M1982">
        <v>95</v>
      </c>
      <c r="N1982" s="58" t="s">
        <v>96</v>
      </c>
      <c r="O1982" t="s">
        <v>1641</v>
      </c>
    </row>
    <row r="1983" spans="1:15" x14ac:dyDescent="0.25">
      <c r="A1983">
        <v>10328</v>
      </c>
      <c r="B1983">
        <v>7</v>
      </c>
      <c r="C1983" s="56" t="s">
        <v>176</v>
      </c>
      <c r="D1983">
        <v>2018</v>
      </c>
      <c r="E1983">
        <v>43</v>
      </c>
      <c r="F1983">
        <v>38.19</v>
      </c>
      <c r="G1983">
        <v>21</v>
      </c>
      <c r="H1983">
        <v>-27.1951</v>
      </c>
      <c r="I1983">
        <v>25.748699999999999</v>
      </c>
      <c r="J1983" t="s">
        <v>1</v>
      </c>
      <c r="K1983">
        <v>3.6</v>
      </c>
      <c r="M1983">
        <v>104</v>
      </c>
      <c r="N1983" s="58" t="s">
        <v>100</v>
      </c>
      <c r="O1983" t="s">
        <v>442</v>
      </c>
    </row>
    <row r="1984" spans="1:15" x14ac:dyDescent="0.25">
      <c r="A1984">
        <v>10329</v>
      </c>
      <c r="B1984">
        <v>8</v>
      </c>
      <c r="C1984" s="56" t="s">
        <v>176</v>
      </c>
      <c r="D1984">
        <v>2018</v>
      </c>
      <c r="E1984">
        <v>17</v>
      </c>
      <c r="F1984">
        <v>14.77</v>
      </c>
      <c r="G1984">
        <v>20</v>
      </c>
      <c r="H1984">
        <v>-21.369199999999999</v>
      </c>
      <c r="I1984">
        <v>33.619100000000003</v>
      </c>
      <c r="J1984" t="s">
        <v>1</v>
      </c>
      <c r="K1984">
        <v>3.8</v>
      </c>
      <c r="L1984">
        <v>3.8</v>
      </c>
      <c r="M1984">
        <v>64</v>
      </c>
      <c r="N1984" s="58" t="s">
        <v>26</v>
      </c>
      <c r="O1984" t="s">
        <v>296</v>
      </c>
    </row>
    <row r="1985" spans="1:15" x14ac:dyDescent="0.25">
      <c r="A1985">
        <v>10330</v>
      </c>
      <c r="B1985">
        <v>8</v>
      </c>
      <c r="C1985" s="56" t="s">
        <v>176</v>
      </c>
      <c r="D1985">
        <v>2018</v>
      </c>
      <c r="E1985">
        <v>39</v>
      </c>
      <c r="F1985">
        <v>44.38</v>
      </c>
      <c r="G1985">
        <v>20</v>
      </c>
      <c r="H1985">
        <v>35.6355</v>
      </c>
      <c r="I1985">
        <v>0.34489999999999998</v>
      </c>
      <c r="J1985">
        <v>141.5</v>
      </c>
      <c r="K1985">
        <v>3.1</v>
      </c>
      <c r="M1985">
        <v>48</v>
      </c>
      <c r="N1985" s="58" t="s">
        <v>10</v>
      </c>
      <c r="O1985" t="s">
        <v>1642</v>
      </c>
    </row>
    <row r="1986" spans="1:15" x14ac:dyDescent="0.25">
      <c r="A1986">
        <v>10331</v>
      </c>
      <c r="B1986">
        <v>8</v>
      </c>
      <c r="C1986" s="56" t="s">
        <v>176</v>
      </c>
      <c r="D1986">
        <v>2018</v>
      </c>
      <c r="E1986">
        <v>7</v>
      </c>
      <c r="F1986">
        <v>26.12</v>
      </c>
      <c r="G1986">
        <v>21</v>
      </c>
      <c r="H1986">
        <v>-3.4260999999999999</v>
      </c>
      <c r="I1986">
        <v>36.490400000000001</v>
      </c>
      <c r="J1986" t="s">
        <v>1</v>
      </c>
      <c r="K1986">
        <v>3.9</v>
      </c>
      <c r="M1986">
        <v>135</v>
      </c>
      <c r="N1986" s="58" t="s">
        <v>96</v>
      </c>
      <c r="O1986" t="s">
        <v>710</v>
      </c>
    </row>
    <row r="1987" spans="1:15" x14ac:dyDescent="0.25">
      <c r="A1987">
        <v>10332</v>
      </c>
      <c r="B1987">
        <v>9</v>
      </c>
      <c r="C1987" s="56" t="s">
        <v>176</v>
      </c>
      <c r="D1987">
        <v>2018</v>
      </c>
      <c r="E1987">
        <v>1</v>
      </c>
      <c r="F1987">
        <v>25.56</v>
      </c>
      <c r="G1987">
        <v>17</v>
      </c>
      <c r="H1987">
        <v>7.1942000000000004</v>
      </c>
      <c r="I1987">
        <v>-4.8268000000000004</v>
      </c>
      <c r="J1987" t="s">
        <v>1</v>
      </c>
      <c r="K1987">
        <v>4.2</v>
      </c>
      <c r="M1987">
        <v>98</v>
      </c>
      <c r="N1987" s="58" t="s">
        <v>15</v>
      </c>
      <c r="O1987" t="s">
        <v>1643</v>
      </c>
    </row>
    <row r="1988" spans="1:15" x14ac:dyDescent="0.25">
      <c r="A1988">
        <v>10333</v>
      </c>
      <c r="B1988">
        <v>10</v>
      </c>
      <c r="C1988" s="56" t="s">
        <v>176</v>
      </c>
      <c r="D1988">
        <v>2018</v>
      </c>
      <c r="E1988">
        <v>50</v>
      </c>
      <c r="F1988">
        <v>28.71</v>
      </c>
      <c r="G1988">
        <v>9</v>
      </c>
      <c r="H1988">
        <v>5.8512000000000004</v>
      </c>
      <c r="I1988">
        <v>-5.218</v>
      </c>
      <c r="J1988" t="s">
        <v>1</v>
      </c>
      <c r="K1988">
        <v>4.0999999999999996</v>
      </c>
      <c r="M1988">
        <v>122</v>
      </c>
      <c r="N1988" s="58" t="s">
        <v>15</v>
      </c>
      <c r="O1988" t="s">
        <v>1644</v>
      </c>
    </row>
    <row r="1989" spans="1:15" x14ac:dyDescent="0.25">
      <c r="A1989">
        <v>10334</v>
      </c>
      <c r="B1989">
        <v>12</v>
      </c>
      <c r="C1989" s="56" t="s">
        <v>176</v>
      </c>
      <c r="D1989">
        <v>2018</v>
      </c>
      <c r="E1989">
        <v>29</v>
      </c>
      <c r="F1989">
        <v>59.18</v>
      </c>
      <c r="G1989">
        <v>12</v>
      </c>
      <c r="H1989">
        <v>4.3346999999999998</v>
      </c>
      <c r="I1989">
        <v>3.0634999999999999</v>
      </c>
      <c r="J1989" t="s">
        <v>1</v>
      </c>
      <c r="K1989">
        <v>3.7</v>
      </c>
      <c r="L1989">
        <v>2.8</v>
      </c>
      <c r="M1989">
        <v>159</v>
      </c>
      <c r="N1989" s="58" t="s">
        <v>663</v>
      </c>
      <c r="O1989" t="s">
        <v>1645</v>
      </c>
    </row>
    <row r="1990" spans="1:15" x14ac:dyDescent="0.25">
      <c r="A1990">
        <v>10335</v>
      </c>
      <c r="B1990">
        <v>13</v>
      </c>
      <c r="C1990" s="56" t="s">
        <v>176</v>
      </c>
      <c r="D1990">
        <v>2018</v>
      </c>
      <c r="E1990">
        <v>28</v>
      </c>
      <c r="F1990">
        <v>6.29</v>
      </c>
      <c r="G1990">
        <v>11</v>
      </c>
      <c r="H1990">
        <v>32.612699999999997</v>
      </c>
      <c r="I1990">
        <v>20.9328</v>
      </c>
      <c r="J1990" t="s">
        <v>1</v>
      </c>
      <c r="K1990">
        <v>4.2</v>
      </c>
      <c r="L1990">
        <v>3.5</v>
      </c>
      <c r="M1990">
        <v>144</v>
      </c>
      <c r="N1990" s="58" t="s">
        <v>135</v>
      </c>
      <c r="O1990" t="s">
        <v>1646</v>
      </c>
    </row>
    <row r="1991" spans="1:15" x14ac:dyDescent="0.25">
      <c r="A1991">
        <v>10336</v>
      </c>
      <c r="B1991">
        <v>13</v>
      </c>
      <c r="C1991" s="56" t="s">
        <v>176</v>
      </c>
      <c r="D1991">
        <v>2018</v>
      </c>
      <c r="E1991">
        <v>54</v>
      </c>
      <c r="F1991">
        <v>41.35</v>
      </c>
      <c r="G1991">
        <v>13</v>
      </c>
      <c r="H1991">
        <v>16.061900000000001</v>
      </c>
      <c r="I1991">
        <v>39.930199999999999</v>
      </c>
      <c r="J1991">
        <v>93.3</v>
      </c>
      <c r="K1991">
        <v>4.0999999999999996</v>
      </c>
      <c r="M1991">
        <v>161</v>
      </c>
      <c r="N1991" s="58" t="s">
        <v>57</v>
      </c>
      <c r="O1991" t="s">
        <v>1647</v>
      </c>
    </row>
    <row r="1992" spans="1:15" x14ac:dyDescent="0.25">
      <c r="A1992">
        <v>10337</v>
      </c>
      <c r="B1992">
        <v>13</v>
      </c>
      <c r="C1992" s="56" t="s">
        <v>176</v>
      </c>
      <c r="D1992">
        <v>2018</v>
      </c>
      <c r="E1992">
        <v>11</v>
      </c>
      <c r="F1992">
        <v>23.28</v>
      </c>
      <c r="G1992">
        <v>15</v>
      </c>
      <c r="H1992">
        <v>8.1942000000000004</v>
      </c>
      <c r="I1992">
        <v>-4.7130999999999998</v>
      </c>
      <c r="J1992" t="s">
        <v>1</v>
      </c>
      <c r="K1992">
        <v>4.2</v>
      </c>
      <c r="M1992">
        <v>101</v>
      </c>
      <c r="N1992" s="58" t="s">
        <v>15</v>
      </c>
      <c r="O1992" t="s">
        <v>1648</v>
      </c>
    </row>
    <row r="1993" spans="1:15" x14ac:dyDescent="0.25">
      <c r="A1993">
        <v>10338</v>
      </c>
      <c r="B1993">
        <v>14</v>
      </c>
      <c r="C1993" s="56" t="s">
        <v>176</v>
      </c>
      <c r="D1993">
        <v>2018</v>
      </c>
      <c r="E1993">
        <v>38</v>
      </c>
      <c r="F1993">
        <v>10.6</v>
      </c>
      <c r="G1993">
        <v>3</v>
      </c>
      <c r="H1993">
        <v>21.892199999999999</v>
      </c>
      <c r="I1993">
        <v>5.4116</v>
      </c>
      <c r="J1993" t="s">
        <v>1</v>
      </c>
      <c r="K1993">
        <v>4.3</v>
      </c>
      <c r="M1993">
        <v>38</v>
      </c>
      <c r="N1993" s="58" t="s">
        <v>110</v>
      </c>
      <c r="O1993" t="s">
        <v>1649</v>
      </c>
    </row>
    <row r="1994" spans="1:15" x14ac:dyDescent="0.25">
      <c r="A1994">
        <v>10339</v>
      </c>
      <c r="B1994">
        <v>14</v>
      </c>
      <c r="C1994" s="56" t="s">
        <v>176</v>
      </c>
      <c r="D1994">
        <v>2018</v>
      </c>
      <c r="E1994">
        <v>39</v>
      </c>
      <c r="F1994">
        <v>27.35</v>
      </c>
      <c r="G1994">
        <v>11</v>
      </c>
      <c r="H1994">
        <v>5.8840000000000003</v>
      </c>
      <c r="I1994">
        <v>-3.7227000000000001</v>
      </c>
      <c r="J1994" t="s">
        <v>1</v>
      </c>
      <c r="K1994">
        <v>3.9</v>
      </c>
      <c r="M1994">
        <v>19</v>
      </c>
      <c r="N1994" s="58" t="s">
        <v>15</v>
      </c>
      <c r="O1994" t="s">
        <v>1650</v>
      </c>
    </row>
    <row r="1995" spans="1:15" x14ac:dyDescent="0.25">
      <c r="A1995">
        <v>10340</v>
      </c>
      <c r="B1995">
        <v>15</v>
      </c>
      <c r="C1995" s="56" t="s">
        <v>176</v>
      </c>
      <c r="D1995">
        <v>2018</v>
      </c>
      <c r="E1995">
        <v>39</v>
      </c>
      <c r="F1995">
        <v>20.73</v>
      </c>
      <c r="G1995">
        <v>5</v>
      </c>
      <c r="H1995">
        <v>-21.822700000000001</v>
      </c>
      <c r="I1995">
        <v>33.4831</v>
      </c>
      <c r="J1995" t="s">
        <v>1</v>
      </c>
      <c r="K1995">
        <v>4.4000000000000004</v>
      </c>
      <c r="L1995">
        <v>4.5</v>
      </c>
      <c r="M1995">
        <v>64</v>
      </c>
      <c r="N1995" s="58" t="s">
        <v>1651</v>
      </c>
      <c r="O1995" t="s">
        <v>1652</v>
      </c>
    </row>
    <row r="1996" spans="1:15" x14ac:dyDescent="0.25">
      <c r="A1996">
        <v>10341</v>
      </c>
      <c r="B1996">
        <v>15</v>
      </c>
      <c r="C1996" s="56" t="s">
        <v>176</v>
      </c>
      <c r="D1996">
        <v>2018</v>
      </c>
      <c r="E1996">
        <v>59</v>
      </c>
      <c r="F1996">
        <v>21.85</v>
      </c>
      <c r="G1996">
        <v>10</v>
      </c>
      <c r="H1996">
        <v>-26.947900000000001</v>
      </c>
      <c r="I1996">
        <v>28.362500000000001</v>
      </c>
      <c r="J1996" t="s">
        <v>1</v>
      </c>
      <c r="K1996">
        <v>4.5</v>
      </c>
      <c r="L1996">
        <v>3.2</v>
      </c>
      <c r="M1996">
        <v>146</v>
      </c>
      <c r="N1996" s="58" t="s">
        <v>6</v>
      </c>
      <c r="O1996" t="s">
        <v>1653</v>
      </c>
    </row>
    <row r="1997" spans="1:15" x14ac:dyDescent="0.25">
      <c r="A1997">
        <v>10342</v>
      </c>
      <c r="B1997">
        <v>16</v>
      </c>
      <c r="C1997" s="56" t="s">
        <v>176</v>
      </c>
      <c r="D1997">
        <v>2018</v>
      </c>
      <c r="E1997">
        <v>31</v>
      </c>
      <c r="F1997">
        <v>35.58</v>
      </c>
      <c r="G1997">
        <v>9</v>
      </c>
      <c r="H1997">
        <v>-8.4933999999999994</v>
      </c>
      <c r="I1997">
        <v>35.388199999999998</v>
      </c>
      <c r="J1997" t="s">
        <v>1</v>
      </c>
      <c r="K1997">
        <v>4.4000000000000004</v>
      </c>
      <c r="M1997">
        <v>78</v>
      </c>
      <c r="N1997" s="58" t="s">
        <v>96</v>
      </c>
      <c r="O1997" t="s">
        <v>1654</v>
      </c>
    </row>
    <row r="1998" spans="1:15" x14ac:dyDescent="0.25">
      <c r="A1998">
        <v>10343</v>
      </c>
      <c r="B1998">
        <v>17</v>
      </c>
      <c r="C1998" s="56" t="s">
        <v>176</v>
      </c>
      <c r="D1998">
        <v>2018</v>
      </c>
      <c r="E1998">
        <v>44</v>
      </c>
      <c r="F1998">
        <v>56.7</v>
      </c>
      <c r="G1998">
        <v>11</v>
      </c>
      <c r="H1998">
        <v>35.726399999999998</v>
      </c>
      <c r="I1998">
        <v>9.3531999999999993</v>
      </c>
      <c r="J1998" t="s">
        <v>1</v>
      </c>
      <c r="L1998">
        <v>4.4000000000000004</v>
      </c>
      <c r="M1998">
        <v>132</v>
      </c>
      <c r="N1998" s="58" t="s">
        <v>1078</v>
      </c>
      <c r="O1998" t="s">
        <v>159</v>
      </c>
    </row>
    <row r="1999" spans="1:15" x14ac:dyDescent="0.25">
      <c r="A1999">
        <v>10344</v>
      </c>
      <c r="B1999">
        <v>17</v>
      </c>
      <c r="C1999" s="56" t="s">
        <v>176</v>
      </c>
      <c r="D1999">
        <v>2018</v>
      </c>
      <c r="E1999">
        <v>47</v>
      </c>
      <c r="F1999">
        <v>46.87</v>
      </c>
      <c r="G1999">
        <v>19</v>
      </c>
      <c r="H1999">
        <v>29.545999999999999</v>
      </c>
      <c r="I1999">
        <v>29.545999999999999</v>
      </c>
      <c r="J1999" t="s">
        <v>1</v>
      </c>
      <c r="K1999">
        <v>3.8</v>
      </c>
      <c r="L1999">
        <v>2.8</v>
      </c>
      <c r="M1999">
        <v>77</v>
      </c>
      <c r="N1999" s="58" t="s">
        <v>10</v>
      </c>
      <c r="O1999" t="s">
        <v>1655</v>
      </c>
    </row>
    <row r="2000" spans="1:15" x14ac:dyDescent="0.25">
      <c r="A2000">
        <v>10345</v>
      </c>
      <c r="B2000">
        <v>17</v>
      </c>
      <c r="C2000" s="56" t="s">
        <v>176</v>
      </c>
      <c r="D2000">
        <v>2018</v>
      </c>
      <c r="E2000">
        <v>49</v>
      </c>
      <c r="F2000">
        <v>6.9</v>
      </c>
      <c r="G2000">
        <v>19</v>
      </c>
      <c r="H2000">
        <v>32.369300000000003</v>
      </c>
      <c r="I2000">
        <v>6.4583000000000004</v>
      </c>
      <c r="J2000" t="s">
        <v>1</v>
      </c>
      <c r="K2000">
        <v>4.0999999999999996</v>
      </c>
      <c r="M2000">
        <v>131</v>
      </c>
      <c r="N2000" s="58" t="s">
        <v>10</v>
      </c>
      <c r="O2000" t="s">
        <v>1656</v>
      </c>
    </row>
    <row r="2001" spans="1:15" x14ac:dyDescent="0.25">
      <c r="A2001">
        <v>10346</v>
      </c>
      <c r="B2001">
        <v>18</v>
      </c>
      <c r="C2001" s="56" t="s">
        <v>176</v>
      </c>
      <c r="D2001">
        <v>2018</v>
      </c>
      <c r="E2001">
        <v>49</v>
      </c>
      <c r="F2001">
        <v>53.64</v>
      </c>
      <c r="G2001">
        <v>10</v>
      </c>
      <c r="H2001">
        <v>-28.7242</v>
      </c>
      <c r="I2001">
        <v>25.2105</v>
      </c>
      <c r="J2001" t="s">
        <v>1</v>
      </c>
      <c r="K2001">
        <v>4.0999999999999996</v>
      </c>
      <c r="M2001">
        <v>18</v>
      </c>
      <c r="N2001" s="58" t="s">
        <v>6</v>
      </c>
      <c r="O2001" t="s">
        <v>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</dc:creator>
  <cp:lastModifiedBy>jeffrey</cp:lastModifiedBy>
  <dcterms:created xsi:type="dcterms:W3CDTF">2025-07-28T12:03:47Z</dcterms:created>
  <dcterms:modified xsi:type="dcterms:W3CDTF">2025-07-28T12:10:42Z</dcterms:modified>
</cp:coreProperties>
</file>