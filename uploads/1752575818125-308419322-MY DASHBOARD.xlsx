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AA3BE685-4097-4499-8260-CBA08B242467}" xr6:coauthVersionLast="36" xr6:coauthVersionMax="36" xr10:uidLastSave="{00000000-0000-0000-0000-000000000000}"/>
  <bookViews>
    <workbookView xWindow="0" yWindow="0" windowWidth="20490" windowHeight="7545" activeTab="2" xr2:uid="{CD829090-F3C8-46E9-A4B5-F9E83A37D047}"/>
  </bookViews>
  <sheets>
    <sheet name="REGIONAL REPORT" sheetId="6" r:id="rId1"/>
    <sheet name="MONTHLY REPORT" sheetId="5" r:id="rId2"/>
    <sheet name="SALEMEN PERFORMANCE" sheetId="4" r:id="rId3"/>
    <sheet name="DASHBOARD " sheetId="1" r:id="rId4"/>
    <sheet name="DATA" sheetId="2" r:id="rId5"/>
    <sheet name="PIVOT TABLE" sheetId="3" r:id="rId6"/>
  </sheets>
  <definedNames>
    <definedName name="ExternalData_2" localSheetId="4">DATA!$A$1</definedName>
    <definedName name="NativeTimeline_Date">#N/A</definedName>
    <definedName name="Slicer_Region">#N/A</definedName>
    <definedName name="Slicer_Salesman">#N/A</definedName>
  </definedNames>
  <calcPr calcId="17902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2" l="1"/>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C19" i="3"/>
  <c r="C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E5FAA4-BDFF-415E-92CE-C286EA438D50}" keepAlive="1" name="Query - Table 01" type="5" refreshedVersion="0" deleted="1" background="1" saveData="1">
    <dbPr connection="" command=""/>
  </connection>
</connections>
</file>

<file path=xl/sharedStrings.xml><?xml version="1.0" encoding="utf-8"?>
<sst xmlns="http://schemas.openxmlformats.org/spreadsheetml/2006/main" count="239" uniqueCount="27">
  <si>
    <t>DASHBOARD</t>
  </si>
  <si>
    <t>SNO.</t>
  </si>
  <si>
    <t>Date</t>
  </si>
  <si>
    <t>Salesman</t>
  </si>
  <si>
    <t>Region</t>
  </si>
  <si>
    <t>Item</t>
  </si>
  <si>
    <t>Qty</t>
  </si>
  <si>
    <t>Price</t>
  </si>
  <si>
    <t>Amount</t>
  </si>
  <si>
    <t>Yasir</t>
  </si>
  <si>
    <t>Bono-East</t>
  </si>
  <si>
    <t>Rice</t>
  </si>
  <si>
    <t>Samir</t>
  </si>
  <si>
    <t>Ashanti</t>
  </si>
  <si>
    <t>Oil</t>
  </si>
  <si>
    <t>Mubashir</t>
  </si>
  <si>
    <t>Savanna</t>
  </si>
  <si>
    <t>Gari</t>
  </si>
  <si>
    <t>Jamil</t>
  </si>
  <si>
    <t>Tomatos</t>
  </si>
  <si>
    <t>Chocolate</t>
  </si>
  <si>
    <t>Green Tea</t>
  </si>
  <si>
    <t>Row Labels</t>
  </si>
  <si>
    <t>Grand Total</t>
  </si>
  <si>
    <t>Sum of Amount</t>
  </si>
  <si>
    <t>Sum of Price</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</si>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</sst>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2"/>
      <color theme="9" tint="-0.249977111117893"/>
      <name val="Arial Black"/>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TABLE!PivotTable8</c:name>
    <c:fmtId val="50"/>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89953377560014E-2"/>
          <c:y val="0.10226152191902324"/>
          <c:w val="0.93202009324488"/>
          <c:h val="0.73098716125483743"/>
        </c:manualLayout>
      </c:layout>
      <c:lineChart>
        <c:grouping val="stacked"/>
        <c:varyColors val="0"/>
        <c:ser>
          <c:idx val="0"/>
          <c:order val="0"/>
          <c:tx>
            <c:strRef>
              <c:f>'PIVOT TABLE'!$L$12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TABLE'!$K$13:$K$16</c:f>
              <c:strCache>
                <c:ptCount val="3"/>
                <c:pt idx="0">
                  <c:v>Ashanti</c:v>
                </c:pt>
                <c:pt idx="1">
                  <c:v>Bono-East</c:v>
                </c:pt>
                <c:pt idx="2">
                  <c:v>Savanna</c:v>
                </c:pt>
              </c:strCache>
            </c:strRef>
          </c:cat>
          <c:val>
            <c:numRef>
              <c:f>'PIVOT TABLE'!$L$13:$L$16</c:f>
              <c:numCache>
                <c:formatCode>General</c:formatCode>
                <c:ptCount val="3"/>
                <c:pt idx="0">
                  <c:v>145268</c:v>
                </c:pt>
                <c:pt idx="1">
                  <c:v>14595</c:v>
                </c:pt>
                <c:pt idx="2">
                  <c:v>23784</c:v>
                </c:pt>
              </c:numCache>
            </c:numRef>
          </c:val>
          <c:smooth val="0"/>
          <c:extLst>
            <c:ext xmlns:c16="http://schemas.microsoft.com/office/drawing/2014/chart" uri="{C3380CC4-5D6E-409C-BE32-E72D297353CC}">
              <c16:uniqueId val="{00000000-F22A-40C4-8FE5-4BA5DE9985C9}"/>
            </c:ext>
          </c:extLst>
        </c:ser>
        <c:dLbls>
          <c:dLblPos val="ctr"/>
          <c:showLegendKey val="0"/>
          <c:showVal val="1"/>
          <c:showCatName val="0"/>
          <c:showSerName val="0"/>
          <c:showPercent val="0"/>
          <c:showBubbleSize val="0"/>
        </c:dLbls>
        <c:marker val="1"/>
        <c:smooth val="0"/>
        <c:axId val="330107664"/>
        <c:axId val="330107992"/>
      </c:lineChart>
      <c:catAx>
        <c:axId val="330107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0107992"/>
        <c:crosses val="autoZero"/>
        <c:auto val="1"/>
        <c:lblAlgn val="ctr"/>
        <c:lblOffset val="100"/>
        <c:noMultiLvlLbl val="0"/>
      </c:catAx>
      <c:valAx>
        <c:axId val="330107992"/>
        <c:scaling>
          <c:orientation val="minMax"/>
        </c:scaling>
        <c:delete val="1"/>
        <c:axPos val="l"/>
        <c:numFmt formatCode="General" sourceLinked="1"/>
        <c:majorTickMark val="none"/>
        <c:minorTickMark val="none"/>
        <c:tickLblPos val="nextTo"/>
        <c:crossAx val="330107664"/>
        <c:crosses val="autoZero"/>
        <c:crossBetween val="between"/>
      </c:valA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TABLE!PivotTable9</c:name>
    <c:fmtId val="65"/>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ofPieChart>
        <c:ofPieType val="pie"/>
        <c:varyColors val="1"/>
        <c:ser>
          <c:idx val="0"/>
          <c:order val="0"/>
          <c:tx>
            <c:strRef>
              <c:f>'PIVOT TABLE'!$O$2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995-4D77-93A7-5EBD7073664F}"/>
              </c:ext>
            </c:extLst>
          </c:dPt>
          <c:dPt>
            <c:idx val="1"/>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extLst>
              <c:ext xmlns:c16="http://schemas.microsoft.com/office/drawing/2014/chart" uri="{C3380CC4-5D6E-409C-BE32-E72D297353CC}">
                <c16:uniqueId val="{00000003-D995-4D77-93A7-5EBD7073664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995-4D77-93A7-5EBD7073664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995-4D77-93A7-5EBD7073664F}"/>
              </c:ext>
            </c:extLst>
          </c:dPt>
          <c:cat>
            <c:strRef>
              <c:f>'PIVOT TABLE'!$N$3:$N$6</c:f>
              <c:strCache>
                <c:ptCount val="3"/>
                <c:pt idx="0">
                  <c:v>Ashanti</c:v>
                </c:pt>
                <c:pt idx="1">
                  <c:v>Bono-East</c:v>
                </c:pt>
                <c:pt idx="2">
                  <c:v>Savanna</c:v>
                </c:pt>
              </c:strCache>
            </c:strRef>
          </c:cat>
          <c:val>
            <c:numRef>
              <c:f>'PIVOT TABLE'!$O$3:$O$6</c:f>
              <c:numCache>
                <c:formatCode>General</c:formatCode>
                <c:ptCount val="3"/>
                <c:pt idx="0">
                  <c:v>5001</c:v>
                </c:pt>
                <c:pt idx="1">
                  <c:v>1035</c:v>
                </c:pt>
                <c:pt idx="2">
                  <c:v>856</c:v>
                </c:pt>
              </c:numCache>
            </c:numRef>
          </c:val>
          <c:extLst>
            <c:ext xmlns:c16="http://schemas.microsoft.com/office/drawing/2014/chart" uri="{C3380CC4-5D6E-409C-BE32-E72D297353CC}">
              <c16:uniqueId val="{00000008-D995-4D77-93A7-5EBD7073664F}"/>
            </c:ext>
          </c:extLst>
        </c:ser>
        <c:dLbls>
          <c:showLegendKey val="0"/>
          <c:showVal val="0"/>
          <c:showCatName val="0"/>
          <c:showSerName val="0"/>
          <c:showPercent val="0"/>
          <c:showBubbleSize val="0"/>
          <c:showLeaderLines val="1"/>
        </c:dLbls>
        <c:gapWidth val="100"/>
        <c:secondPieSize val="75"/>
        <c:serLines>
          <c:spPr>
            <a:ln w="9525">
              <a:solidFill>
                <a:schemeClr val="tx1">
                  <a:lumMod val="35000"/>
                  <a:lumOff val="65000"/>
                </a:schemeClr>
              </a:solidFill>
              <a:round/>
            </a:ln>
            <a:effectLst/>
          </c:spPr>
        </c:serLines>
      </c:ofPie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TABLE!PivotTable7</c:name>
    <c:fmtId val="30"/>
  </c:pivotSource>
  <c:chart>
    <c:autoTitleDeleted val="1"/>
    <c:pivotFmts>
      <c:pivotFmt>
        <c:idx val="0"/>
        <c:spPr>
          <a:solidFill>
            <a:schemeClr val="accent1"/>
          </a:solidFill>
          <a:ln>
            <a:noFill/>
          </a:ln>
          <a:effectLst/>
          <a:sp3d/>
        </c:spPr>
        <c:marker>
          <c:symbol val="circle"/>
          <c:size val="6"/>
          <c:spPr>
            <a:solidFill>
              <a:schemeClr val="lt1"/>
            </a:solidFill>
            <a:ln w="15875">
              <a:solidFill>
                <a:schemeClr val="accent1"/>
              </a:solidFill>
              <a:round/>
            </a:ln>
            <a:effectLst/>
          </c:spPr>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manualLayout>
          <c:layoutTarget val="inner"/>
          <c:xMode val="edge"/>
          <c:yMode val="edge"/>
          <c:x val="6.4037260048376302E-2"/>
          <c:y val="0.10134581725437791"/>
          <c:w val="0.84360389326334206"/>
          <c:h val="0.59818277260796948"/>
        </c:manualLayout>
      </c:layout>
      <c:area3DChart>
        <c:grouping val="stacked"/>
        <c:varyColors val="0"/>
        <c:ser>
          <c:idx val="0"/>
          <c:order val="0"/>
          <c:tx>
            <c:strRef>
              <c:f>'PIVOT TABLE'!$L$2</c:f>
              <c:strCache>
                <c:ptCount val="1"/>
                <c:pt idx="0">
                  <c:v>Total</c:v>
                </c:pt>
              </c:strCache>
            </c:strRef>
          </c:tx>
          <c:spPr>
            <a:solidFill>
              <a:schemeClr val="accent1"/>
            </a:solidFill>
            <a:ln>
              <a:noFill/>
            </a:ln>
            <a:effectLst/>
            <a:sp3d/>
          </c:spPr>
          <c:cat>
            <c:strRef>
              <c:f>'PIVOT TABLE'!$K$3:$K$9</c:f>
              <c:strCache>
                <c:ptCount val="6"/>
                <c:pt idx="0">
                  <c:v>Chocolate</c:v>
                </c:pt>
                <c:pt idx="1">
                  <c:v>Gari</c:v>
                </c:pt>
                <c:pt idx="2">
                  <c:v>Green Tea</c:v>
                </c:pt>
                <c:pt idx="3">
                  <c:v>Oil</c:v>
                </c:pt>
                <c:pt idx="4">
                  <c:v>Rice</c:v>
                </c:pt>
                <c:pt idx="5">
                  <c:v>Tomatos</c:v>
                </c:pt>
              </c:strCache>
            </c:strRef>
          </c:cat>
          <c:val>
            <c:numRef>
              <c:f>'PIVOT TABLE'!$L$3:$L$9</c:f>
              <c:numCache>
                <c:formatCode>General</c:formatCode>
                <c:ptCount val="6"/>
                <c:pt idx="0">
                  <c:v>9875</c:v>
                </c:pt>
                <c:pt idx="1">
                  <c:v>9984</c:v>
                </c:pt>
                <c:pt idx="2">
                  <c:v>3648</c:v>
                </c:pt>
                <c:pt idx="3">
                  <c:v>121200</c:v>
                </c:pt>
                <c:pt idx="4">
                  <c:v>21000</c:v>
                </c:pt>
                <c:pt idx="5">
                  <c:v>17940</c:v>
                </c:pt>
              </c:numCache>
            </c:numRef>
          </c:val>
          <c:extLst>
            <c:ext xmlns:c16="http://schemas.microsoft.com/office/drawing/2014/chart" uri="{C3380CC4-5D6E-409C-BE32-E72D297353CC}">
              <c16:uniqueId val="{00000000-27BA-48D5-B4F6-C81BE775BFF7}"/>
            </c:ext>
          </c:extLst>
        </c:ser>
        <c:dLbls>
          <c:showLegendKey val="0"/>
          <c:showVal val="0"/>
          <c:showCatName val="0"/>
          <c:showSerName val="0"/>
          <c:showPercent val="0"/>
          <c:showBubbleSize val="0"/>
        </c:dLbls>
        <c:axId val="398199256"/>
        <c:axId val="761910096"/>
        <c:axId val="0"/>
      </c:area3DChart>
      <c:catAx>
        <c:axId val="398199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1910096"/>
        <c:crosses val="autoZero"/>
        <c:auto val="1"/>
        <c:lblAlgn val="ctr"/>
        <c:lblOffset val="100"/>
        <c:noMultiLvlLbl val="0"/>
      </c:catAx>
      <c:valAx>
        <c:axId val="761910096"/>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398199256"/>
        <c:crosses val="autoZero"/>
        <c:crossBetween val="midCat"/>
      </c:valAx>
      <c:spPr>
        <a:solidFill>
          <a:schemeClr val="lt1"/>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TABLE!PivotTable7</c:name>
    <c:fmtId val="3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89451476793248"/>
          <c:y val="0.15602836879432624"/>
          <c:w val="0.72453463570218279"/>
          <c:h val="0.84397163120567376"/>
        </c:manualLayout>
      </c:layout>
      <c:pie3DChart>
        <c:varyColors val="1"/>
        <c:ser>
          <c:idx val="0"/>
          <c:order val="0"/>
          <c:tx>
            <c:strRef>
              <c:f>'PIVOT TABLE'!$L$2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A7C-4C04-9296-CE4BB4508D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A7C-4C04-9296-CE4BB4508D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A7C-4C04-9296-CE4BB4508D0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A7C-4C04-9296-CE4BB4508D0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A7C-4C04-9296-CE4BB4508D0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A7C-4C04-9296-CE4BB4508D0E}"/>
              </c:ext>
            </c:extLst>
          </c:dPt>
          <c:cat>
            <c:strRef>
              <c:f>'PIVOT TABLE'!$K$3:$K$9</c:f>
              <c:strCache>
                <c:ptCount val="6"/>
                <c:pt idx="0">
                  <c:v>Chocolate</c:v>
                </c:pt>
                <c:pt idx="1">
                  <c:v>Gari</c:v>
                </c:pt>
                <c:pt idx="2">
                  <c:v>Green Tea</c:v>
                </c:pt>
                <c:pt idx="3">
                  <c:v>Oil</c:v>
                </c:pt>
                <c:pt idx="4">
                  <c:v>Rice</c:v>
                </c:pt>
                <c:pt idx="5">
                  <c:v>Tomatos</c:v>
                </c:pt>
              </c:strCache>
            </c:strRef>
          </c:cat>
          <c:val>
            <c:numRef>
              <c:f>'PIVOT TABLE'!$L$3:$L$9</c:f>
              <c:numCache>
                <c:formatCode>General</c:formatCode>
                <c:ptCount val="6"/>
                <c:pt idx="0">
                  <c:v>9875</c:v>
                </c:pt>
                <c:pt idx="1">
                  <c:v>9984</c:v>
                </c:pt>
                <c:pt idx="2">
                  <c:v>3648</c:v>
                </c:pt>
                <c:pt idx="3">
                  <c:v>121200</c:v>
                </c:pt>
                <c:pt idx="4">
                  <c:v>21000</c:v>
                </c:pt>
                <c:pt idx="5">
                  <c:v>17940</c:v>
                </c:pt>
              </c:numCache>
            </c:numRef>
          </c:val>
          <c:extLst>
            <c:ext xmlns:c16="http://schemas.microsoft.com/office/drawing/2014/chart" uri="{C3380CC4-5D6E-409C-BE32-E72D297353CC}">
              <c16:uniqueId val="{0000000C-FA7C-4C04-9296-CE4BB4508D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TABLE!PivotTable5</c:name>
    <c:fmtId val="18"/>
  </c:pivotSource>
  <c:chart>
    <c:autoTitleDeleted val="1"/>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770272935536244E-2"/>
          <c:y val="0.12623274161735701"/>
          <c:w val="0.91522157996146436"/>
          <c:h val="0.73019118172358632"/>
        </c:manualLayout>
      </c:layout>
      <c:bar3DChart>
        <c:barDir val="col"/>
        <c:grouping val="standard"/>
        <c:varyColors val="0"/>
        <c:ser>
          <c:idx val="0"/>
          <c:order val="0"/>
          <c:tx>
            <c:strRef>
              <c:f>'PIVOT TABLE'!$I$2</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 TABLE'!$H$3:$H$7</c:f>
              <c:strCache>
                <c:ptCount val="4"/>
                <c:pt idx="0">
                  <c:v>Jamil</c:v>
                </c:pt>
                <c:pt idx="1">
                  <c:v>Mubashir</c:v>
                </c:pt>
                <c:pt idx="2">
                  <c:v>Samir</c:v>
                </c:pt>
                <c:pt idx="3">
                  <c:v>Yasir</c:v>
                </c:pt>
              </c:strCache>
            </c:strRef>
          </c:cat>
          <c:val>
            <c:numRef>
              <c:f>'PIVOT TABLE'!$I$3:$I$7</c:f>
              <c:numCache>
                <c:formatCode>General</c:formatCode>
                <c:ptCount val="4"/>
                <c:pt idx="0">
                  <c:v>19555</c:v>
                </c:pt>
                <c:pt idx="1">
                  <c:v>18072</c:v>
                </c:pt>
                <c:pt idx="2">
                  <c:v>77980</c:v>
                </c:pt>
                <c:pt idx="3">
                  <c:v>68040</c:v>
                </c:pt>
              </c:numCache>
            </c:numRef>
          </c:val>
          <c:extLst>
            <c:ext xmlns:c16="http://schemas.microsoft.com/office/drawing/2014/chart" uri="{C3380CC4-5D6E-409C-BE32-E72D297353CC}">
              <c16:uniqueId val="{00000000-AA91-43F7-89A8-73FDCD2CA335}"/>
            </c:ext>
          </c:extLst>
        </c:ser>
        <c:dLbls>
          <c:showLegendKey val="0"/>
          <c:showVal val="0"/>
          <c:showCatName val="0"/>
          <c:showSerName val="0"/>
          <c:showPercent val="0"/>
          <c:showBubbleSize val="0"/>
        </c:dLbls>
        <c:gapWidth val="150"/>
        <c:shape val="box"/>
        <c:axId val="903005856"/>
        <c:axId val="903006512"/>
        <c:axId val="908629064"/>
      </c:bar3DChart>
      <c:catAx>
        <c:axId val="90300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03006512"/>
        <c:crosses val="autoZero"/>
        <c:auto val="1"/>
        <c:lblAlgn val="ctr"/>
        <c:lblOffset val="100"/>
        <c:noMultiLvlLbl val="0"/>
      </c:catAx>
      <c:valAx>
        <c:axId val="903006512"/>
        <c:scaling>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903005856"/>
        <c:crosses val="autoZero"/>
        <c:crossBetween val="between"/>
      </c:valAx>
      <c:serAx>
        <c:axId val="908629064"/>
        <c:scaling>
          <c:orientation val="minMax"/>
        </c:scaling>
        <c:delete val="1"/>
        <c:axPos val="b"/>
        <c:majorTickMark val="none"/>
        <c:minorTickMark val="none"/>
        <c:tickLblPos val="nextTo"/>
        <c:crossAx val="9030065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TABLE!PivotTable6</c:name>
    <c:fmtId val="2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line3DChart>
        <c:grouping val="standard"/>
        <c:varyColors val="0"/>
        <c:ser>
          <c:idx val="0"/>
          <c:order val="0"/>
          <c:tx>
            <c:strRef>
              <c:f>'PIVOT TABLE'!$I$12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'PIVOT TABLE'!$H$13:$H$17</c:f>
              <c:strCache>
                <c:ptCount val="4"/>
                <c:pt idx="0">
                  <c:v>Jamil</c:v>
                </c:pt>
                <c:pt idx="1">
                  <c:v>Mubashir</c:v>
                </c:pt>
                <c:pt idx="2">
                  <c:v>Samir</c:v>
                </c:pt>
                <c:pt idx="3">
                  <c:v>Yasir</c:v>
                </c:pt>
              </c:strCache>
            </c:strRef>
          </c:cat>
          <c:val>
            <c:numRef>
              <c:f>'PIVOT TABLE'!$I$13:$I$17</c:f>
              <c:numCache>
                <c:formatCode>General</c:formatCode>
                <c:ptCount val="4"/>
                <c:pt idx="0">
                  <c:v>933</c:v>
                </c:pt>
                <c:pt idx="1">
                  <c:v>436</c:v>
                </c:pt>
                <c:pt idx="2">
                  <c:v>2270</c:v>
                </c:pt>
                <c:pt idx="3">
                  <c:v>3253</c:v>
                </c:pt>
              </c:numCache>
            </c:numRef>
          </c:val>
          <c:smooth val="0"/>
          <c:extLst>
            <c:ext xmlns:c16="http://schemas.microsoft.com/office/drawing/2014/chart" uri="{C3380CC4-5D6E-409C-BE32-E72D297353CC}">
              <c16:uniqueId val="{00000000-09FA-4D09-AEFB-DD2ADCD33593}"/>
            </c:ext>
          </c:extLst>
        </c:ser>
        <c:dLbls>
          <c:showLegendKey val="0"/>
          <c:showVal val="0"/>
          <c:showCatName val="0"/>
          <c:showSerName val="0"/>
          <c:showPercent val="0"/>
          <c:showBubbleSize val="0"/>
        </c:dLbls>
        <c:axId val="1037663552"/>
        <c:axId val="1037668144"/>
        <c:axId val="1029764936"/>
      </c:line3DChart>
      <c:catAx>
        <c:axId val="103766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7668144"/>
        <c:crosses val="autoZero"/>
        <c:auto val="1"/>
        <c:lblAlgn val="ctr"/>
        <c:lblOffset val="100"/>
        <c:noMultiLvlLbl val="0"/>
      </c:catAx>
      <c:valAx>
        <c:axId val="10376681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37663552"/>
        <c:crosses val="autoZero"/>
        <c:crossBetween val="between"/>
      </c:valAx>
      <c:serAx>
        <c:axId val="1029764936"/>
        <c:scaling>
          <c:orientation val="minMax"/>
        </c:scaling>
        <c:delete val="1"/>
        <c:axPos val="b"/>
        <c:majorTickMark val="none"/>
        <c:minorTickMark val="none"/>
        <c:tickLblPos val="nextTo"/>
        <c:crossAx val="103766814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DA-4BB7-9571-64CF2D876D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DA-4BB7-9571-64CF2D876D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DA-4BB7-9571-64CF2D876D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DA-4BB7-9571-64CF2D876D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DA-4BB7-9571-64CF2D876D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DA-4BB7-9571-64CF2D876D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TABLE'!$E$3:$E$9</c:f>
              <c:strCache>
                <c:ptCount val="6"/>
                <c:pt idx="0">
                  <c:v>Chocolate</c:v>
                </c:pt>
                <c:pt idx="1">
                  <c:v>Gari</c:v>
                </c:pt>
                <c:pt idx="2">
                  <c:v>Green Tea</c:v>
                </c:pt>
                <c:pt idx="3">
                  <c:v>Oil</c:v>
                </c:pt>
                <c:pt idx="4">
                  <c:v>Rice</c:v>
                </c:pt>
                <c:pt idx="5">
                  <c:v>Tomatos</c:v>
                </c:pt>
              </c:strCache>
            </c:strRef>
          </c:cat>
          <c:val>
            <c:numRef>
              <c:f>'PIVOT TABLE'!$F$3:$F$9</c:f>
              <c:numCache>
                <c:formatCode>General</c:formatCode>
                <c:ptCount val="6"/>
                <c:pt idx="0">
                  <c:v>395</c:v>
                </c:pt>
                <c:pt idx="1">
                  <c:v>312</c:v>
                </c:pt>
                <c:pt idx="2">
                  <c:v>304</c:v>
                </c:pt>
                <c:pt idx="3">
                  <c:v>240</c:v>
                </c:pt>
                <c:pt idx="4">
                  <c:v>140</c:v>
                </c:pt>
                <c:pt idx="5">
                  <c:v>276</c:v>
                </c:pt>
              </c:numCache>
            </c:numRef>
          </c:val>
          <c:extLst>
            <c:ext xmlns:c16="http://schemas.microsoft.com/office/drawing/2014/chart" uri="{C3380CC4-5D6E-409C-BE32-E72D297353CC}">
              <c16:uniqueId val="{0000000C-2EDA-4BB7-9571-64CF2D876D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 TABLE!PivotTable4</c:name>
    <c:fmtId val="12"/>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5667063757251745"/>
          <c:y val="0.141280353200883"/>
          <c:w val="0.84332936242748258"/>
          <c:h val="0.49092350211190489"/>
        </c:manualLayout>
      </c:layout>
      <c:lineChart>
        <c:grouping val="standard"/>
        <c:varyColors val="0"/>
        <c:ser>
          <c:idx val="0"/>
          <c:order val="0"/>
          <c:tx>
            <c:strRef>
              <c:f>'PIVOT TABLE'!$F$12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TABLE'!$E$13:$E$19</c:f>
              <c:strCache>
                <c:ptCount val="6"/>
                <c:pt idx="0">
                  <c:v>Chocolate</c:v>
                </c:pt>
                <c:pt idx="1">
                  <c:v>Gari</c:v>
                </c:pt>
                <c:pt idx="2">
                  <c:v>Green Tea</c:v>
                </c:pt>
                <c:pt idx="3">
                  <c:v>Oil</c:v>
                </c:pt>
                <c:pt idx="4">
                  <c:v>Rice</c:v>
                </c:pt>
                <c:pt idx="5">
                  <c:v>Tomatos</c:v>
                </c:pt>
              </c:strCache>
            </c:strRef>
          </c:cat>
          <c:val>
            <c:numRef>
              <c:f>'PIVOT TABLE'!$F$13:$F$19</c:f>
              <c:numCache>
                <c:formatCode>General</c:formatCode>
                <c:ptCount val="6"/>
                <c:pt idx="0">
                  <c:v>275</c:v>
                </c:pt>
                <c:pt idx="1">
                  <c:v>256</c:v>
                </c:pt>
                <c:pt idx="2">
                  <c:v>96</c:v>
                </c:pt>
                <c:pt idx="3">
                  <c:v>4545</c:v>
                </c:pt>
                <c:pt idx="4">
                  <c:v>1200</c:v>
                </c:pt>
                <c:pt idx="5">
                  <c:v>520</c:v>
                </c:pt>
              </c:numCache>
            </c:numRef>
          </c:val>
          <c:smooth val="0"/>
          <c:extLst>
            <c:ext xmlns:c16="http://schemas.microsoft.com/office/drawing/2014/chart" uri="{C3380CC4-5D6E-409C-BE32-E72D297353CC}">
              <c16:uniqueId val="{00000000-65FB-4663-A247-274A72F472E7}"/>
            </c:ext>
          </c:extLst>
        </c:ser>
        <c:dLbls>
          <c:showLegendKey val="0"/>
          <c:showVal val="0"/>
          <c:showCatName val="0"/>
          <c:showSerName val="0"/>
          <c:showPercent val="0"/>
          <c:showBubbleSize val="0"/>
        </c:dLbls>
        <c:marker val="1"/>
        <c:smooth val="0"/>
        <c:axId val="902086456"/>
        <c:axId val="902085800"/>
      </c:lineChart>
      <c:catAx>
        <c:axId val="9020864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2085800"/>
        <c:crosses val="autoZero"/>
        <c:auto val="1"/>
        <c:lblAlgn val="ctr"/>
        <c:lblOffset val="100"/>
        <c:noMultiLvlLbl val="0"/>
      </c:catAx>
      <c:valAx>
        <c:axId val="902085800"/>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902086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rgbClr val="FF99CC"/>
      </a:solidFill>
      <a:prstDash val="solid"/>
      <a:miter lim="800000"/>
    </a:ln>
    <a:effectLst>
      <a:glow rad="101600">
        <a:schemeClr val="accent2">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hyperlink" Target="#'DASHBOARD '!A1"/><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9524</xdr:rowOff>
    </xdr:from>
    <xdr:to>
      <xdr:col>18</xdr:col>
      <xdr:colOff>295274</xdr:colOff>
      <xdr:row>33</xdr:row>
      <xdr:rowOff>9525</xdr:rowOff>
    </xdr:to>
    <xdr:sp macro="" textlink="">
      <xdr:nvSpPr>
        <xdr:cNvPr id="2" name="Flowchart: Alternate Process 1">
          <a:extLst>
            <a:ext uri="{FF2B5EF4-FFF2-40B4-BE49-F238E27FC236}">
              <a16:creationId xmlns:a16="http://schemas.microsoft.com/office/drawing/2014/main" id="{DFE2671F-0E7A-4969-A534-4715F7DDA9D7}"/>
            </a:ext>
          </a:extLst>
        </xdr:cNvPr>
        <xdr:cNvSpPr/>
      </xdr:nvSpPr>
      <xdr:spPr>
        <a:xfrm>
          <a:off x="0" y="771524"/>
          <a:ext cx="11268074" cy="55245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4</xdr:row>
      <xdr:rowOff>161924</xdr:rowOff>
    </xdr:from>
    <xdr:to>
      <xdr:col>21</xdr:col>
      <xdr:colOff>123824</xdr:colOff>
      <xdr:row>33</xdr:row>
      <xdr:rowOff>123825</xdr:rowOff>
    </xdr:to>
    <xdr:sp macro="" textlink="">
      <xdr:nvSpPr>
        <xdr:cNvPr id="3" name="Flowchart: Alternate Process 2">
          <a:extLst>
            <a:ext uri="{FF2B5EF4-FFF2-40B4-BE49-F238E27FC236}">
              <a16:creationId xmlns:a16="http://schemas.microsoft.com/office/drawing/2014/main" id="{9685623D-532E-4B41-95C7-DA386B5FB19D}"/>
            </a:ext>
          </a:extLst>
        </xdr:cNvPr>
        <xdr:cNvSpPr/>
      </xdr:nvSpPr>
      <xdr:spPr>
        <a:xfrm>
          <a:off x="1657350" y="923924"/>
          <a:ext cx="11268074" cy="5486401"/>
        </a:xfrm>
        <a:prstGeom prst="flowChartAlternateProcess">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314324</xdr:colOff>
      <xdr:row>14</xdr:row>
      <xdr:rowOff>95250</xdr:rowOff>
    </xdr:from>
    <xdr:to>
      <xdr:col>6</xdr:col>
      <xdr:colOff>485775</xdr:colOff>
      <xdr:row>17</xdr:row>
      <xdr:rowOff>136398</xdr:rowOff>
    </xdr:to>
    <xdr:sp macro="" textlink="">
      <xdr:nvSpPr>
        <xdr:cNvPr id="4" name="Flowchart: Alternate Process 3">
          <a:extLst>
            <a:ext uri="{FF2B5EF4-FFF2-40B4-BE49-F238E27FC236}">
              <a16:creationId xmlns:a16="http://schemas.microsoft.com/office/drawing/2014/main" id="{B0724784-D8F2-4804-B120-20BF3DD826DD}"/>
            </a:ext>
          </a:extLst>
        </xdr:cNvPr>
        <xdr:cNvSpPr/>
      </xdr:nvSpPr>
      <xdr:spPr>
        <a:xfrm>
          <a:off x="2143124" y="2762250"/>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390524</xdr:colOff>
      <xdr:row>14</xdr:row>
      <xdr:rowOff>180974</xdr:rowOff>
    </xdr:from>
    <xdr:to>
      <xdr:col>6</xdr:col>
      <xdr:colOff>314325</xdr:colOff>
      <xdr:row>17</xdr:row>
      <xdr:rowOff>85725</xdr:rowOff>
    </xdr:to>
    <xdr:sp macro="" textlink="'PIVOT TABLE'!C9">
      <xdr:nvSpPr>
        <xdr:cNvPr id="5" name="Flowchart: Alternate Process 4">
          <a:extLst>
            <a:ext uri="{FF2B5EF4-FFF2-40B4-BE49-F238E27FC236}">
              <a16:creationId xmlns:a16="http://schemas.microsoft.com/office/drawing/2014/main" id="{66D0C4CE-E36F-45D9-86CD-DF74427BD9B7}"/>
            </a:ext>
          </a:extLst>
        </xdr:cNvPr>
        <xdr:cNvSpPr/>
      </xdr:nvSpPr>
      <xdr:spPr>
        <a:xfrm>
          <a:off x="2828924" y="28479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3765D90-DDEF-441E-805B-4353D71D4820}" type="TxLink">
            <a:rPr lang="en-US" sz="2000" b="0" i="0" u="none" strike="noStrike">
              <a:solidFill>
                <a:srgbClr val="000000"/>
              </a:solidFill>
              <a:latin typeface="Calibri"/>
              <a:cs typeface="Calibri"/>
            </a:rPr>
            <a:pPr algn="l"/>
            <a:t>183647</a:t>
          </a:fld>
          <a:endParaRPr lang="en-US" sz="2000"/>
        </a:p>
      </xdr:txBody>
    </xdr:sp>
    <xdr:clientData/>
  </xdr:twoCellAnchor>
  <xdr:twoCellAnchor>
    <xdr:from>
      <xdr:col>17</xdr:col>
      <xdr:colOff>152399</xdr:colOff>
      <xdr:row>15</xdr:row>
      <xdr:rowOff>104775</xdr:rowOff>
    </xdr:from>
    <xdr:to>
      <xdr:col>20</xdr:col>
      <xdr:colOff>323850</xdr:colOff>
      <xdr:row>18</xdr:row>
      <xdr:rowOff>145923</xdr:rowOff>
    </xdr:to>
    <xdr:sp macro="" textlink="">
      <xdr:nvSpPr>
        <xdr:cNvPr id="6" name="Flowchart: Alternate Process 5">
          <a:extLst>
            <a:ext uri="{FF2B5EF4-FFF2-40B4-BE49-F238E27FC236}">
              <a16:creationId xmlns:a16="http://schemas.microsoft.com/office/drawing/2014/main" id="{7698E744-CA41-4D4B-855F-75A71963CC7B}"/>
            </a:ext>
          </a:extLst>
        </xdr:cNvPr>
        <xdr:cNvSpPr/>
      </xdr:nvSpPr>
      <xdr:spPr>
        <a:xfrm>
          <a:off x="10515599" y="2962275"/>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333374</xdr:colOff>
      <xdr:row>15</xdr:row>
      <xdr:rowOff>190499</xdr:rowOff>
    </xdr:from>
    <xdr:to>
      <xdr:col>20</xdr:col>
      <xdr:colOff>257175</xdr:colOff>
      <xdr:row>18</xdr:row>
      <xdr:rowOff>95250</xdr:rowOff>
    </xdr:to>
    <xdr:sp macro="" textlink="'PIVOT TABLE'!C19">
      <xdr:nvSpPr>
        <xdr:cNvPr id="7" name="Flowchart: Alternate Process 6">
          <a:extLst>
            <a:ext uri="{FF2B5EF4-FFF2-40B4-BE49-F238E27FC236}">
              <a16:creationId xmlns:a16="http://schemas.microsoft.com/office/drawing/2014/main" id="{24E7172A-FB35-4B3C-BF30-CD10000BB3C3}"/>
            </a:ext>
          </a:extLst>
        </xdr:cNvPr>
        <xdr:cNvSpPr/>
      </xdr:nvSpPr>
      <xdr:spPr>
        <a:xfrm>
          <a:off x="11306174" y="30479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9D53AB0-3E85-4BE8-B9D2-5441A7E58AF2}" type="TxLink">
            <a:rPr lang="en-US" sz="2800" b="0" i="0" u="none" strike="noStrike">
              <a:solidFill>
                <a:srgbClr val="000000"/>
              </a:solidFill>
              <a:latin typeface="Calibri"/>
              <a:cs typeface="Calibri"/>
            </a:rPr>
            <a:pPr algn="l"/>
            <a:t>6892</a:t>
          </a:fld>
          <a:endParaRPr lang="en-US" sz="2800"/>
        </a:p>
      </xdr:txBody>
    </xdr:sp>
    <xdr:clientData/>
  </xdr:twoCellAnchor>
  <xdr:twoCellAnchor>
    <xdr:from>
      <xdr:col>3</xdr:col>
      <xdr:colOff>561975</xdr:colOff>
      <xdr:row>10</xdr:row>
      <xdr:rowOff>152400</xdr:rowOff>
    </xdr:from>
    <xdr:to>
      <xdr:col>6</xdr:col>
      <xdr:colOff>428625</xdr:colOff>
      <xdr:row>13</xdr:row>
      <xdr:rowOff>95250</xdr:rowOff>
    </xdr:to>
    <xdr:sp macro="" textlink="">
      <xdr:nvSpPr>
        <xdr:cNvPr id="8" name="Rectangle: Beveled 7">
          <a:extLst>
            <a:ext uri="{FF2B5EF4-FFF2-40B4-BE49-F238E27FC236}">
              <a16:creationId xmlns:a16="http://schemas.microsoft.com/office/drawing/2014/main" id="{C8ABE676-4A9B-4E6B-BBA9-AFE77AC5B894}"/>
            </a:ext>
          </a:extLst>
        </xdr:cNvPr>
        <xdr:cNvSpPr/>
      </xdr:nvSpPr>
      <xdr:spPr>
        <a:xfrm>
          <a:off x="2390775" y="2057400"/>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ANALYTICS</a:t>
          </a:r>
          <a:endParaRPr lang="en-US" sz="1100"/>
        </a:p>
      </xdr:txBody>
    </xdr:sp>
    <xdr:clientData/>
  </xdr:twoCellAnchor>
  <xdr:twoCellAnchor>
    <xdr:from>
      <xdr:col>17</xdr:col>
      <xdr:colOff>104775</xdr:colOff>
      <xdr:row>12</xdr:row>
      <xdr:rowOff>66675</xdr:rowOff>
    </xdr:from>
    <xdr:to>
      <xdr:col>20</xdr:col>
      <xdr:colOff>104775</xdr:colOff>
      <xdr:row>15</xdr:row>
      <xdr:rowOff>9525</xdr:rowOff>
    </xdr:to>
    <xdr:sp macro="" textlink="">
      <xdr:nvSpPr>
        <xdr:cNvPr id="9" name="Rectangle: Beveled 8">
          <a:extLst>
            <a:ext uri="{FF2B5EF4-FFF2-40B4-BE49-F238E27FC236}">
              <a16:creationId xmlns:a16="http://schemas.microsoft.com/office/drawing/2014/main" id="{B919E7C9-79A1-4576-8015-D47D3EF99711}"/>
            </a:ext>
          </a:extLst>
        </xdr:cNvPr>
        <xdr:cNvSpPr/>
      </xdr:nvSpPr>
      <xdr:spPr>
        <a:xfrm>
          <a:off x="10467975" y="2352675"/>
          <a:ext cx="182880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REGIONAL</a:t>
          </a:r>
          <a:r>
            <a:rPr lang="en-US" sz="1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REPORT</a:t>
          </a:r>
          <a:endPar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editAs="oneCell">
    <xdr:from>
      <xdr:col>3</xdr:col>
      <xdr:colOff>66675</xdr:colOff>
      <xdr:row>10</xdr:row>
      <xdr:rowOff>171450</xdr:rowOff>
    </xdr:from>
    <xdr:to>
      <xdr:col>3</xdr:col>
      <xdr:colOff>600075</xdr:colOff>
      <xdr:row>13</xdr:row>
      <xdr:rowOff>85725</xdr:rowOff>
    </xdr:to>
    <xdr:pic>
      <xdr:nvPicPr>
        <xdr:cNvPr id="10" name="Graphic 9" descr="Bar graph with upward trend">
          <a:extLst>
            <a:ext uri="{FF2B5EF4-FFF2-40B4-BE49-F238E27FC236}">
              <a16:creationId xmlns:a16="http://schemas.microsoft.com/office/drawing/2014/main" id="{F9657C16-6E3B-4D71-B7EC-7BE2E24887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95475" y="2076450"/>
          <a:ext cx="533400" cy="485775"/>
        </a:xfrm>
        <a:prstGeom prst="rect">
          <a:avLst/>
        </a:prstGeom>
      </xdr:spPr>
    </xdr:pic>
    <xdr:clientData/>
  </xdr:twoCellAnchor>
  <xdr:twoCellAnchor editAs="oneCell">
    <xdr:from>
      <xdr:col>3</xdr:col>
      <xdr:colOff>209550</xdr:colOff>
      <xdr:row>14</xdr:row>
      <xdr:rowOff>142875</xdr:rowOff>
    </xdr:from>
    <xdr:to>
      <xdr:col>4</xdr:col>
      <xdr:colOff>333375</xdr:colOff>
      <xdr:row>17</xdr:row>
      <xdr:rowOff>133350</xdr:rowOff>
    </xdr:to>
    <xdr:pic>
      <xdr:nvPicPr>
        <xdr:cNvPr id="11" name="Graphic 10" descr="Dollar">
          <a:extLst>
            <a:ext uri="{FF2B5EF4-FFF2-40B4-BE49-F238E27FC236}">
              <a16:creationId xmlns:a16="http://schemas.microsoft.com/office/drawing/2014/main" id="{6913CF6F-375E-443B-9BB3-01441E20156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38350" y="2809875"/>
          <a:ext cx="733425" cy="561975"/>
        </a:xfrm>
        <a:prstGeom prst="rect">
          <a:avLst/>
        </a:prstGeom>
      </xdr:spPr>
    </xdr:pic>
    <xdr:clientData/>
  </xdr:twoCellAnchor>
  <xdr:twoCellAnchor editAs="oneCell">
    <xdr:from>
      <xdr:col>17</xdr:col>
      <xdr:colOff>257174</xdr:colOff>
      <xdr:row>15</xdr:row>
      <xdr:rowOff>19050</xdr:rowOff>
    </xdr:from>
    <xdr:to>
      <xdr:col>18</xdr:col>
      <xdr:colOff>257175</xdr:colOff>
      <xdr:row>19</xdr:row>
      <xdr:rowOff>28575</xdr:rowOff>
    </xdr:to>
    <xdr:pic>
      <xdr:nvPicPr>
        <xdr:cNvPr id="12" name="Graphic 11" descr="Business Growth">
          <a:extLst>
            <a:ext uri="{FF2B5EF4-FFF2-40B4-BE49-F238E27FC236}">
              <a16:creationId xmlns:a16="http://schemas.microsoft.com/office/drawing/2014/main" id="{F8A3A9C0-DC1E-4C8E-993A-09A4D9CEF21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620374" y="2876550"/>
          <a:ext cx="609601" cy="771525"/>
        </a:xfrm>
        <a:prstGeom prst="rect">
          <a:avLst/>
        </a:prstGeom>
      </xdr:spPr>
    </xdr:pic>
    <xdr:clientData/>
  </xdr:twoCellAnchor>
  <xdr:twoCellAnchor>
    <xdr:from>
      <xdr:col>3</xdr:col>
      <xdr:colOff>66674</xdr:colOff>
      <xdr:row>20</xdr:row>
      <xdr:rowOff>76200</xdr:rowOff>
    </xdr:from>
    <xdr:to>
      <xdr:col>21</xdr:col>
      <xdr:colOff>9525</xdr:colOff>
      <xdr:row>32</xdr:row>
      <xdr:rowOff>85725</xdr:rowOff>
    </xdr:to>
    <xdr:sp macro="" textlink="">
      <xdr:nvSpPr>
        <xdr:cNvPr id="13" name="Rectangle: Rounded Corners 12">
          <a:extLst>
            <a:ext uri="{FF2B5EF4-FFF2-40B4-BE49-F238E27FC236}">
              <a16:creationId xmlns:a16="http://schemas.microsoft.com/office/drawing/2014/main" id="{C3922475-C659-42B5-8AAA-E37700450ADD}"/>
            </a:ext>
          </a:extLst>
        </xdr:cNvPr>
        <xdr:cNvSpPr/>
      </xdr:nvSpPr>
      <xdr:spPr>
        <a:xfrm>
          <a:off x="1895474" y="3886200"/>
          <a:ext cx="10915651" cy="2295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485775</xdr:colOff>
      <xdr:row>4</xdr:row>
      <xdr:rowOff>152399</xdr:rowOff>
    </xdr:from>
    <xdr:to>
      <xdr:col>19</xdr:col>
      <xdr:colOff>600075</xdr:colOff>
      <xdr:row>8</xdr:row>
      <xdr:rowOff>28574</xdr:rowOff>
    </xdr:to>
    <mc:AlternateContent xmlns:mc="http://schemas.openxmlformats.org/markup-compatibility/2006" xmlns:a14="http://schemas.microsoft.com/office/drawing/2010/main">
      <mc:Choice Requires="a14">
        <xdr:graphicFrame macro="">
          <xdr:nvGraphicFramePr>
            <xdr:cNvPr id="15" name="Salesman 3">
              <a:extLst>
                <a:ext uri="{FF2B5EF4-FFF2-40B4-BE49-F238E27FC236}">
                  <a16:creationId xmlns:a16="http://schemas.microsoft.com/office/drawing/2014/main" id="{2E69DEED-F075-4584-A8FD-F35E25F958F6}"/>
                </a:ext>
              </a:extLst>
            </xdr:cNvPr>
            <xdr:cNvGraphicFramePr/>
          </xdr:nvGraphicFramePr>
          <xdr:xfrm>
            <a:off x="0" y="0"/>
            <a:ext cx="0" cy="0"/>
          </xdr:xfrm>
          <a:graphic>
            <a:graphicData uri="http://schemas.microsoft.com/office/drawing/2010/slicer">
              <sle:slicer xmlns:sle="http://schemas.microsoft.com/office/drawing/2010/slicer" name="Salesman 3"/>
            </a:graphicData>
          </a:graphic>
        </xdr:graphicFrame>
      </mc:Choice>
      <mc:Fallback xmlns="">
        <xdr:sp macro="" textlink="">
          <xdr:nvSpPr>
            <xdr:cNvPr id="0" name=""/>
            <xdr:cNvSpPr>
              <a:spLocks noTextEdit="1"/>
            </xdr:cNvSpPr>
          </xdr:nvSpPr>
          <xdr:spPr>
            <a:xfrm>
              <a:off x="8410575" y="914399"/>
              <a:ext cx="37719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4</xdr:row>
      <xdr:rowOff>114299</xdr:rowOff>
    </xdr:from>
    <xdr:to>
      <xdr:col>12</xdr:col>
      <xdr:colOff>104775</xdr:colOff>
      <xdr:row>10</xdr:row>
      <xdr:rowOff>57148</xdr:rowOff>
    </xdr:to>
    <mc:AlternateContent xmlns:mc="http://schemas.openxmlformats.org/markup-compatibility/2006" xmlns:tsle="http://schemas.microsoft.com/office/drawing/2012/timeslicer">
      <mc:Choice Requires="tsle">
        <xdr:graphicFrame macro="">
          <xdr:nvGraphicFramePr>
            <xdr:cNvPr id="16" name="Date 3">
              <a:extLst>
                <a:ext uri="{FF2B5EF4-FFF2-40B4-BE49-F238E27FC236}">
                  <a16:creationId xmlns:a16="http://schemas.microsoft.com/office/drawing/2014/main" id="{336BFF07-A9C6-4ED6-9B35-8BA88D340CB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476500" y="876299"/>
              <a:ext cx="4943475" cy="10858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371475</xdr:colOff>
      <xdr:row>8</xdr:row>
      <xdr:rowOff>76199</xdr:rowOff>
    </xdr:from>
    <xdr:to>
      <xdr:col>19</xdr:col>
      <xdr:colOff>323850</xdr:colOff>
      <xdr:row>11</xdr:row>
      <xdr:rowOff>123823</xdr:rowOff>
    </xdr:to>
    <mc:AlternateContent xmlns:mc="http://schemas.openxmlformats.org/markup-compatibility/2006" xmlns:a14="http://schemas.microsoft.com/office/drawing/2010/main">
      <mc:Choice Requires="a14">
        <xdr:graphicFrame macro="">
          <xdr:nvGraphicFramePr>
            <xdr:cNvPr id="17" name="Region 3">
              <a:extLst>
                <a:ext uri="{FF2B5EF4-FFF2-40B4-BE49-F238E27FC236}">
                  <a16:creationId xmlns:a16="http://schemas.microsoft.com/office/drawing/2014/main" id="{11F003D7-97D3-4FE4-A8DC-A66D515A34B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905875" y="1600199"/>
              <a:ext cx="30003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7</xdr:row>
      <xdr:rowOff>28574</xdr:rowOff>
    </xdr:from>
    <xdr:to>
      <xdr:col>2</xdr:col>
      <xdr:colOff>219076</xdr:colOff>
      <xdr:row>9</xdr:row>
      <xdr:rowOff>123825</xdr:rowOff>
    </xdr:to>
    <xdr:sp macro="" textlink="'PIVOT TABLE'!R10">
      <xdr:nvSpPr>
        <xdr:cNvPr id="18" name="Flowchart: Alternate Process 17">
          <a:extLst>
            <a:ext uri="{FF2B5EF4-FFF2-40B4-BE49-F238E27FC236}">
              <a16:creationId xmlns:a16="http://schemas.microsoft.com/office/drawing/2014/main" id="{4D6EE4C9-5515-4F3C-903C-4481BEE2F310}"/>
            </a:ext>
          </a:extLst>
        </xdr:cNvPr>
        <xdr:cNvSpPr/>
      </xdr:nvSpPr>
      <xdr:spPr>
        <a:xfrm>
          <a:off x="295275" y="13620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276225</xdr:colOff>
      <xdr:row>14</xdr:row>
      <xdr:rowOff>95249</xdr:rowOff>
    </xdr:from>
    <xdr:to>
      <xdr:col>2</xdr:col>
      <xdr:colOff>200026</xdr:colOff>
      <xdr:row>17</xdr:row>
      <xdr:rowOff>0</xdr:rowOff>
    </xdr:to>
    <xdr:sp macro="" textlink="">
      <xdr:nvSpPr>
        <xdr:cNvPr id="19" name="Flowchart: Alternate Process 18">
          <a:extLst>
            <a:ext uri="{FF2B5EF4-FFF2-40B4-BE49-F238E27FC236}">
              <a16:creationId xmlns:a16="http://schemas.microsoft.com/office/drawing/2014/main" id="{C1A3D7CC-035B-433B-BA17-1DD00EC64201}"/>
            </a:ext>
          </a:extLst>
        </xdr:cNvPr>
        <xdr:cNvSpPr/>
      </xdr:nvSpPr>
      <xdr:spPr>
        <a:xfrm>
          <a:off x="276225" y="276224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228600</xdr:colOff>
      <xdr:row>20</xdr:row>
      <xdr:rowOff>104774</xdr:rowOff>
    </xdr:from>
    <xdr:to>
      <xdr:col>2</xdr:col>
      <xdr:colOff>152401</xdr:colOff>
      <xdr:row>23</xdr:row>
      <xdr:rowOff>9525</xdr:rowOff>
    </xdr:to>
    <xdr:sp macro="" textlink="'PIVOT TABLE'!C9">
      <xdr:nvSpPr>
        <xdr:cNvPr id="20" name="Flowchart: Alternate Process 19">
          <a:extLst>
            <a:ext uri="{FF2B5EF4-FFF2-40B4-BE49-F238E27FC236}">
              <a16:creationId xmlns:a16="http://schemas.microsoft.com/office/drawing/2014/main" id="{AFD1AB17-ADE9-48E5-B1CA-4FF3CA4D4545}"/>
            </a:ext>
          </a:extLst>
        </xdr:cNvPr>
        <xdr:cNvSpPr/>
      </xdr:nvSpPr>
      <xdr:spPr>
        <a:xfrm>
          <a:off x="228600" y="39147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05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200025</xdr:colOff>
      <xdr:row>27</xdr:row>
      <xdr:rowOff>114299</xdr:rowOff>
    </xdr:from>
    <xdr:to>
      <xdr:col>2</xdr:col>
      <xdr:colOff>123826</xdr:colOff>
      <xdr:row>30</xdr:row>
      <xdr:rowOff>19050</xdr:rowOff>
    </xdr:to>
    <xdr:sp macro="" textlink="'PIVOT TABLE'!R10">
      <xdr:nvSpPr>
        <xdr:cNvPr id="21" name="Flowchart: Alternate Process 20">
          <a:extLst>
            <a:ext uri="{FF2B5EF4-FFF2-40B4-BE49-F238E27FC236}">
              <a16:creationId xmlns:a16="http://schemas.microsoft.com/office/drawing/2014/main" id="{A1989945-3721-439B-837D-AB0D554BCAAB}"/>
            </a:ext>
          </a:extLst>
        </xdr:cNvPr>
        <xdr:cNvSpPr/>
      </xdr:nvSpPr>
      <xdr:spPr>
        <a:xfrm>
          <a:off x="200025" y="52577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REGIONAL</a:t>
          </a:r>
          <a:r>
            <a:rPr lang="en-US" sz="105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REPORT</a:t>
          </a:r>
          <a:endParaRPr lang="en-US" sz="105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3</xdr:col>
      <xdr:colOff>295274</xdr:colOff>
      <xdr:row>21</xdr:row>
      <xdr:rowOff>1</xdr:rowOff>
    </xdr:from>
    <xdr:to>
      <xdr:col>9</xdr:col>
      <xdr:colOff>552450</xdr:colOff>
      <xdr:row>31</xdr:row>
      <xdr:rowOff>104775</xdr:rowOff>
    </xdr:to>
    <xdr:graphicFrame macro="">
      <xdr:nvGraphicFramePr>
        <xdr:cNvPr id="24" name="Chart 23">
          <a:extLst>
            <a:ext uri="{FF2B5EF4-FFF2-40B4-BE49-F238E27FC236}">
              <a16:creationId xmlns:a16="http://schemas.microsoft.com/office/drawing/2014/main" id="{9621009F-0154-43B3-B53D-A72216871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180974</xdr:colOff>
      <xdr:row>21</xdr:row>
      <xdr:rowOff>28575</xdr:rowOff>
    </xdr:from>
    <xdr:to>
      <xdr:col>20</xdr:col>
      <xdr:colOff>338136</xdr:colOff>
      <xdr:row>31</xdr:row>
      <xdr:rowOff>114300</xdr:rowOff>
    </xdr:to>
    <xdr:graphicFrame macro="">
      <xdr:nvGraphicFramePr>
        <xdr:cNvPr id="25" name="Chart 24">
          <a:extLst>
            <a:ext uri="{FF2B5EF4-FFF2-40B4-BE49-F238E27FC236}">
              <a16:creationId xmlns:a16="http://schemas.microsoft.com/office/drawing/2014/main" id="{0B3DBF2B-5EC4-4534-9B3C-A0137A38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9524</xdr:rowOff>
    </xdr:from>
    <xdr:to>
      <xdr:col>18</xdr:col>
      <xdr:colOff>295274</xdr:colOff>
      <xdr:row>33</xdr:row>
      <xdr:rowOff>9525</xdr:rowOff>
    </xdr:to>
    <xdr:sp macro="" textlink="">
      <xdr:nvSpPr>
        <xdr:cNvPr id="2" name="Flowchart: Alternate Process 1">
          <a:extLst>
            <a:ext uri="{FF2B5EF4-FFF2-40B4-BE49-F238E27FC236}">
              <a16:creationId xmlns:a16="http://schemas.microsoft.com/office/drawing/2014/main" id="{249FA469-F881-4A61-B1CC-2192D5B129A5}"/>
            </a:ext>
          </a:extLst>
        </xdr:cNvPr>
        <xdr:cNvSpPr/>
      </xdr:nvSpPr>
      <xdr:spPr>
        <a:xfrm>
          <a:off x="0" y="771524"/>
          <a:ext cx="11268074" cy="55245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504825</xdr:colOff>
      <xdr:row>4</xdr:row>
      <xdr:rowOff>95249</xdr:rowOff>
    </xdr:from>
    <xdr:to>
      <xdr:col>21</xdr:col>
      <xdr:colOff>190499</xdr:colOff>
      <xdr:row>33</xdr:row>
      <xdr:rowOff>57150</xdr:rowOff>
    </xdr:to>
    <xdr:sp macro="" textlink="">
      <xdr:nvSpPr>
        <xdr:cNvPr id="3" name="Flowchart: Alternate Process 2">
          <a:extLst>
            <a:ext uri="{FF2B5EF4-FFF2-40B4-BE49-F238E27FC236}">
              <a16:creationId xmlns:a16="http://schemas.microsoft.com/office/drawing/2014/main" id="{E44E4FB5-EB97-4AA1-B962-96B98165E6BD}"/>
            </a:ext>
          </a:extLst>
        </xdr:cNvPr>
        <xdr:cNvSpPr/>
      </xdr:nvSpPr>
      <xdr:spPr>
        <a:xfrm>
          <a:off x="1724025" y="857249"/>
          <a:ext cx="11268074" cy="5486401"/>
        </a:xfrm>
        <a:prstGeom prst="flowChartAlternateProcess">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314324</xdr:colOff>
      <xdr:row>14</xdr:row>
      <xdr:rowOff>95250</xdr:rowOff>
    </xdr:from>
    <xdr:to>
      <xdr:col>6</xdr:col>
      <xdr:colOff>485775</xdr:colOff>
      <xdr:row>17</xdr:row>
      <xdr:rowOff>136398</xdr:rowOff>
    </xdr:to>
    <xdr:sp macro="" textlink="">
      <xdr:nvSpPr>
        <xdr:cNvPr id="4" name="Flowchart: Alternate Process 3">
          <a:extLst>
            <a:ext uri="{FF2B5EF4-FFF2-40B4-BE49-F238E27FC236}">
              <a16:creationId xmlns:a16="http://schemas.microsoft.com/office/drawing/2014/main" id="{F5DACCD7-A055-4C90-90E3-CC5568DDD83A}"/>
            </a:ext>
          </a:extLst>
        </xdr:cNvPr>
        <xdr:cNvSpPr/>
      </xdr:nvSpPr>
      <xdr:spPr>
        <a:xfrm>
          <a:off x="2143124" y="2762250"/>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390524</xdr:colOff>
      <xdr:row>14</xdr:row>
      <xdr:rowOff>180974</xdr:rowOff>
    </xdr:from>
    <xdr:to>
      <xdr:col>6</xdr:col>
      <xdr:colOff>314325</xdr:colOff>
      <xdr:row>17</xdr:row>
      <xdr:rowOff>85725</xdr:rowOff>
    </xdr:to>
    <xdr:sp macro="" textlink="'PIVOT TABLE'!C9">
      <xdr:nvSpPr>
        <xdr:cNvPr id="5" name="Flowchart: Alternate Process 4">
          <a:extLst>
            <a:ext uri="{FF2B5EF4-FFF2-40B4-BE49-F238E27FC236}">
              <a16:creationId xmlns:a16="http://schemas.microsoft.com/office/drawing/2014/main" id="{C40BA4F1-5C74-4DBD-AEBB-00F0376C445C}"/>
            </a:ext>
          </a:extLst>
        </xdr:cNvPr>
        <xdr:cNvSpPr/>
      </xdr:nvSpPr>
      <xdr:spPr>
        <a:xfrm>
          <a:off x="2828924" y="28479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3765D90-DDEF-441E-805B-4353D71D4820}" type="TxLink">
            <a:rPr lang="en-US" sz="2000" b="0" i="0" u="none" strike="noStrike">
              <a:solidFill>
                <a:srgbClr val="000000"/>
              </a:solidFill>
              <a:latin typeface="Calibri"/>
              <a:cs typeface="Calibri"/>
            </a:rPr>
            <a:pPr algn="l"/>
            <a:t>183647</a:t>
          </a:fld>
          <a:endParaRPr lang="en-US" sz="2000"/>
        </a:p>
      </xdr:txBody>
    </xdr:sp>
    <xdr:clientData/>
  </xdr:twoCellAnchor>
  <xdr:twoCellAnchor>
    <xdr:from>
      <xdr:col>17</xdr:col>
      <xdr:colOff>152399</xdr:colOff>
      <xdr:row>15</xdr:row>
      <xdr:rowOff>104775</xdr:rowOff>
    </xdr:from>
    <xdr:to>
      <xdr:col>20</xdr:col>
      <xdr:colOff>323850</xdr:colOff>
      <xdr:row>18</xdr:row>
      <xdr:rowOff>145923</xdr:rowOff>
    </xdr:to>
    <xdr:sp macro="" textlink="">
      <xdr:nvSpPr>
        <xdr:cNvPr id="6" name="Flowchart: Alternate Process 5">
          <a:extLst>
            <a:ext uri="{FF2B5EF4-FFF2-40B4-BE49-F238E27FC236}">
              <a16:creationId xmlns:a16="http://schemas.microsoft.com/office/drawing/2014/main" id="{690E860C-1A86-4E09-B9EE-D2BD49E46781}"/>
            </a:ext>
          </a:extLst>
        </xdr:cNvPr>
        <xdr:cNvSpPr/>
      </xdr:nvSpPr>
      <xdr:spPr>
        <a:xfrm>
          <a:off x="10515599" y="2962275"/>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333374</xdr:colOff>
      <xdr:row>15</xdr:row>
      <xdr:rowOff>190499</xdr:rowOff>
    </xdr:from>
    <xdr:to>
      <xdr:col>20</xdr:col>
      <xdr:colOff>257175</xdr:colOff>
      <xdr:row>18</xdr:row>
      <xdr:rowOff>95250</xdr:rowOff>
    </xdr:to>
    <xdr:sp macro="" textlink="'PIVOT TABLE'!C19">
      <xdr:nvSpPr>
        <xdr:cNvPr id="7" name="Flowchart: Alternate Process 6">
          <a:extLst>
            <a:ext uri="{FF2B5EF4-FFF2-40B4-BE49-F238E27FC236}">
              <a16:creationId xmlns:a16="http://schemas.microsoft.com/office/drawing/2014/main" id="{73607831-9781-4B4E-BC88-0ACDEFD076E8}"/>
            </a:ext>
          </a:extLst>
        </xdr:cNvPr>
        <xdr:cNvSpPr/>
      </xdr:nvSpPr>
      <xdr:spPr>
        <a:xfrm>
          <a:off x="11306174" y="30479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9D53AB0-3E85-4BE8-B9D2-5441A7E58AF2}" type="TxLink">
            <a:rPr lang="en-US" sz="2800" b="0" i="0" u="none" strike="noStrike">
              <a:solidFill>
                <a:srgbClr val="000000"/>
              </a:solidFill>
              <a:latin typeface="Calibri"/>
              <a:cs typeface="Calibri"/>
            </a:rPr>
            <a:pPr algn="l"/>
            <a:t>6892</a:t>
          </a:fld>
          <a:endParaRPr lang="en-US" sz="2800"/>
        </a:p>
      </xdr:txBody>
    </xdr:sp>
    <xdr:clientData/>
  </xdr:twoCellAnchor>
  <xdr:twoCellAnchor>
    <xdr:from>
      <xdr:col>3</xdr:col>
      <xdr:colOff>561975</xdr:colOff>
      <xdr:row>10</xdr:row>
      <xdr:rowOff>152400</xdr:rowOff>
    </xdr:from>
    <xdr:to>
      <xdr:col>6</xdr:col>
      <xdr:colOff>428625</xdr:colOff>
      <xdr:row>13</xdr:row>
      <xdr:rowOff>95250</xdr:rowOff>
    </xdr:to>
    <xdr:sp macro="" textlink="">
      <xdr:nvSpPr>
        <xdr:cNvPr id="8" name="Rectangle: Beveled 7">
          <a:extLst>
            <a:ext uri="{FF2B5EF4-FFF2-40B4-BE49-F238E27FC236}">
              <a16:creationId xmlns:a16="http://schemas.microsoft.com/office/drawing/2014/main" id="{FEAA524C-2695-491B-B334-57CBA56E556A}"/>
            </a:ext>
          </a:extLst>
        </xdr:cNvPr>
        <xdr:cNvSpPr/>
      </xdr:nvSpPr>
      <xdr:spPr>
        <a:xfrm>
          <a:off x="2390775" y="2057400"/>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ANALYTICS</a:t>
          </a:r>
          <a:endParaRPr lang="en-US" sz="1100"/>
        </a:p>
      </xdr:txBody>
    </xdr:sp>
    <xdr:clientData/>
  </xdr:twoCellAnchor>
  <xdr:twoCellAnchor>
    <xdr:from>
      <xdr:col>17</xdr:col>
      <xdr:colOff>104775</xdr:colOff>
      <xdr:row>12</xdr:row>
      <xdr:rowOff>66675</xdr:rowOff>
    </xdr:from>
    <xdr:to>
      <xdr:col>20</xdr:col>
      <xdr:colOff>104775</xdr:colOff>
      <xdr:row>15</xdr:row>
      <xdr:rowOff>9525</xdr:rowOff>
    </xdr:to>
    <xdr:sp macro="" textlink="">
      <xdr:nvSpPr>
        <xdr:cNvPr id="9" name="Rectangle: Beveled 8">
          <a:extLst>
            <a:ext uri="{FF2B5EF4-FFF2-40B4-BE49-F238E27FC236}">
              <a16:creationId xmlns:a16="http://schemas.microsoft.com/office/drawing/2014/main" id="{E19A7BFF-C3F0-41D9-80B7-26BB6B5BB03A}"/>
            </a:ext>
          </a:extLst>
        </xdr:cNvPr>
        <xdr:cNvSpPr/>
      </xdr:nvSpPr>
      <xdr:spPr>
        <a:xfrm>
          <a:off x="10467975" y="2352675"/>
          <a:ext cx="182880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MONTHLY</a:t>
          </a:r>
          <a:r>
            <a:rPr lang="en-US" sz="1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REPORT</a:t>
          </a:r>
          <a:endPar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editAs="oneCell">
    <xdr:from>
      <xdr:col>3</xdr:col>
      <xdr:colOff>66675</xdr:colOff>
      <xdr:row>10</xdr:row>
      <xdr:rowOff>171450</xdr:rowOff>
    </xdr:from>
    <xdr:to>
      <xdr:col>3</xdr:col>
      <xdr:colOff>600075</xdr:colOff>
      <xdr:row>13</xdr:row>
      <xdr:rowOff>85725</xdr:rowOff>
    </xdr:to>
    <xdr:pic>
      <xdr:nvPicPr>
        <xdr:cNvPr id="10" name="Graphic 9" descr="Bar graph with upward trend">
          <a:extLst>
            <a:ext uri="{FF2B5EF4-FFF2-40B4-BE49-F238E27FC236}">
              <a16:creationId xmlns:a16="http://schemas.microsoft.com/office/drawing/2014/main" id="{8000AC7D-86DF-4E6E-84A9-A03D21A57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95475" y="2076450"/>
          <a:ext cx="533400" cy="485775"/>
        </a:xfrm>
        <a:prstGeom prst="rect">
          <a:avLst/>
        </a:prstGeom>
      </xdr:spPr>
    </xdr:pic>
    <xdr:clientData/>
  </xdr:twoCellAnchor>
  <xdr:twoCellAnchor editAs="oneCell">
    <xdr:from>
      <xdr:col>3</xdr:col>
      <xdr:colOff>209550</xdr:colOff>
      <xdr:row>14</xdr:row>
      <xdr:rowOff>142875</xdr:rowOff>
    </xdr:from>
    <xdr:to>
      <xdr:col>4</xdr:col>
      <xdr:colOff>333375</xdr:colOff>
      <xdr:row>17</xdr:row>
      <xdr:rowOff>133350</xdr:rowOff>
    </xdr:to>
    <xdr:pic>
      <xdr:nvPicPr>
        <xdr:cNvPr id="11" name="Graphic 10" descr="Dollar">
          <a:extLst>
            <a:ext uri="{FF2B5EF4-FFF2-40B4-BE49-F238E27FC236}">
              <a16:creationId xmlns:a16="http://schemas.microsoft.com/office/drawing/2014/main" id="{4FD8532D-6F2A-4059-ACCB-02FE554FBEC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38350" y="2809875"/>
          <a:ext cx="733425" cy="561975"/>
        </a:xfrm>
        <a:prstGeom prst="rect">
          <a:avLst/>
        </a:prstGeom>
      </xdr:spPr>
    </xdr:pic>
    <xdr:clientData/>
  </xdr:twoCellAnchor>
  <xdr:twoCellAnchor editAs="oneCell">
    <xdr:from>
      <xdr:col>17</xdr:col>
      <xdr:colOff>257174</xdr:colOff>
      <xdr:row>15</xdr:row>
      <xdr:rowOff>19050</xdr:rowOff>
    </xdr:from>
    <xdr:to>
      <xdr:col>18</xdr:col>
      <xdr:colOff>257175</xdr:colOff>
      <xdr:row>19</xdr:row>
      <xdr:rowOff>28575</xdr:rowOff>
    </xdr:to>
    <xdr:pic>
      <xdr:nvPicPr>
        <xdr:cNvPr id="12" name="Graphic 11" descr="Business Growth">
          <a:extLst>
            <a:ext uri="{FF2B5EF4-FFF2-40B4-BE49-F238E27FC236}">
              <a16:creationId xmlns:a16="http://schemas.microsoft.com/office/drawing/2014/main" id="{528A936C-A89D-4FD1-9D7D-D3CF504601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620374" y="2876550"/>
          <a:ext cx="609601" cy="771525"/>
        </a:xfrm>
        <a:prstGeom prst="rect">
          <a:avLst/>
        </a:prstGeom>
      </xdr:spPr>
    </xdr:pic>
    <xdr:clientData/>
  </xdr:twoCellAnchor>
  <xdr:twoCellAnchor>
    <xdr:from>
      <xdr:col>3</xdr:col>
      <xdr:colOff>76199</xdr:colOff>
      <xdr:row>20</xdr:row>
      <xdr:rowOff>104775</xdr:rowOff>
    </xdr:from>
    <xdr:to>
      <xdr:col>10</xdr:col>
      <xdr:colOff>66674</xdr:colOff>
      <xdr:row>32</xdr:row>
      <xdr:rowOff>0</xdr:rowOff>
    </xdr:to>
    <xdr:sp macro="" textlink="">
      <xdr:nvSpPr>
        <xdr:cNvPr id="13" name="Rectangle: Rounded Corners 12">
          <a:extLst>
            <a:ext uri="{FF2B5EF4-FFF2-40B4-BE49-F238E27FC236}">
              <a16:creationId xmlns:a16="http://schemas.microsoft.com/office/drawing/2014/main" id="{80AF7D75-4812-4193-83BF-57F544462A24}"/>
            </a:ext>
          </a:extLst>
        </xdr:cNvPr>
        <xdr:cNvSpPr/>
      </xdr:nvSpPr>
      <xdr:spPr>
        <a:xfrm>
          <a:off x="1904999" y="3914775"/>
          <a:ext cx="4257675" cy="2181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523874</xdr:colOff>
      <xdr:row>21</xdr:row>
      <xdr:rowOff>9525</xdr:rowOff>
    </xdr:from>
    <xdr:to>
      <xdr:col>20</xdr:col>
      <xdr:colOff>514349</xdr:colOff>
      <xdr:row>32</xdr:row>
      <xdr:rowOff>28575</xdr:rowOff>
    </xdr:to>
    <xdr:sp macro="" textlink="">
      <xdr:nvSpPr>
        <xdr:cNvPr id="14" name="Rectangle: Rounded Corners 13">
          <a:extLst>
            <a:ext uri="{FF2B5EF4-FFF2-40B4-BE49-F238E27FC236}">
              <a16:creationId xmlns:a16="http://schemas.microsoft.com/office/drawing/2014/main" id="{C514C4AA-249D-4365-8AE9-57885F1849E3}"/>
            </a:ext>
          </a:extLst>
        </xdr:cNvPr>
        <xdr:cNvSpPr/>
      </xdr:nvSpPr>
      <xdr:spPr>
        <a:xfrm>
          <a:off x="8448674" y="4010025"/>
          <a:ext cx="4257675" cy="2114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485775</xdr:colOff>
      <xdr:row>4</xdr:row>
      <xdr:rowOff>152399</xdr:rowOff>
    </xdr:from>
    <xdr:to>
      <xdr:col>19</xdr:col>
      <xdr:colOff>600075</xdr:colOff>
      <xdr:row>8</xdr:row>
      <xdr:rowOff>28574</xdr:rowOff>
    </xdr:to>
    <mc:AlternateContent xmlns:mc="http://schemas.openxmlformats.org/markup-compatibility/2006" xmlns:a14="http://schemas.microsoft.com/office/drawing/2010/main">
      <mc:Choice Requires="a14">
        <xdr:graphicFrame macro="">
          <xdr:nvGraphicFramePr>
            <xdr:cNvPr id="15" name="Salesman 2">
              <a:extLst>
                <a:ext uri="{FF2B5EF4-FFF2-40B4-BE49-F238E27FC236}">
                  <a16:creationId xmlns:a16="http://schemas.microsoft.com/office/drawing/2014/main" id="{FAC567CE-E81A-4661-B34F-612B9525FFD5}"/>
                </a:ext>
              </a:extLst>
            </xdr:cNvPr>
            <xdr:cNvGraphicFramePr/>
          </xdr:nvGraphicFramePr>
          <xdr:xfrm>
            <a:off x="0" y="0"/>
            <a:ext cx="0" cy="0"/>
          </xdr:xfrm>
          <a:graphic>
            <a:graphicData uri="http://schemas.microsoft.com/office/drawing/2010/slicer">
              <sle:slicer xmlns:sle="http://schemas.microsoft.com/office/drawing/2010/slicer" name="Salesman 2"/>
            </a:graphicData>
          </a:graphic>
        </xdr:graphicFrame>
      </mc:Choice>
      <mc:Fallback xmlns="">
        <xdr:sp macro="" textlink="">
          <xdr:nvSpPr>
            <xdr:cNvPr id="0" name=""/>
            <xdr:cNvSpPr>
              <a:spLocks noTextEdit="1"/>
            </xdr:cNvSpPr>
          </xdr:nvSpPr>
          <xdr:spPr>
            <a:xfrm>
              <a:off x="8410575" y="914399"/>
              <a:ext cx="37719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4</xdr:row>
      <xdr:rowOff>114299</xdr:rowOff>
    </xdr:from>
    <xdr:to>
      <xdr:col>12</xdr:col>
      <xdr:colOff>104775</xdr:colOff>
      <xdr:row>10</xdr:row>
      <xdr:rowOff>57148</xdr:rowOff>
    </xdr:to>
    <mc:AlternateContent xmlns:mc="http://schemas.openxmlformats.org/markup-compatibility/2006" xmlns:tsle="http://schemas.microsoft.com/office/drawing/2012/timeslicer">
      <mc:Choice Requires="tsle">
        <xdr:graphicFrame macro="">
          <xdr:nvGraphicFramePr>
            <xdr:cNvPr id="16" name="Date 2">
              <a:extLst>
                <a:ext uri="{FF2B5EF4-FFF2-40B4-BE49-F238E27FC236}">
                  <a16:creationId xmlns:a16="http://schemas.microsoft.com/office/drawing/2014/main" id="{721B20B1-7EB3-4919-AA34-D37E2F50FCA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476500" y="876299"/>
              <a:ext cx="4943475" cy="10858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371475</xdr:colOff>
      <xdr:row>8</xdr:row>
      <xdr:rowOff>76199</xdr:rowOff>
    </xdr:from>
    <xdr:to>
      <xdr:col>19</xdr:col>
      <xdr:colOff>323850</xdr:colOff>
      <xdr:row>11</xdr:row>
      <xdr:rowOff>123823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FD338042-5F7F-4601-A86B-8D4B8222CB3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905875" y="1600199"/>
              <a:ext cx="30003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7</xdr:row>
      <xdr:rowOff>28574</xdr:rowOff>
    </xdr:from>
    <xdr:to>
      <xdr:col>2</xdr:col>
      <xdr:colOff>219076</xdr:colOff>
      <xdr:row>9</xdr:row>
      <xdr:rowOff>123825</xdr:rowOff>
    </xdr:to>
    <xdr:sp macro="" textlink="'PIVOT TABLE'!R10">
      <xdr:nvSpPr>
        <xdr:cNvPr id="18" name="Flowchart: Alternate Process 17">
          <a:extLst>
            <a:ext uri="{FF2B5EF4-FFF2-40B4-BE49-F238E27FC236}">
              <a16:creationId xmlns:a16="http://schemas.microsoft.com/office/drawing/2014/main" id="{FAE9BFA8-A104-4FC3-89CF-A77E200070ED}"/>
            </a:ext>
          </a:extLst>
        </xdr:cNvPr>
        <xdr:cNvSpPr/>
      </xdr:nvSpPr>
      <xdr:spPr>
        <a:xfrm>
          <a:off x="295275" y="13620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276225</xdr:colOff>
      <xdr:row>14</xdr:row>
      <xdr:rowOff>95249</xdr:rowOff>
    </xdr:from>
    <xdr:to>
      <xdr:col>2</xdr:col>
      <xdr:colOff>200026</xdr:colOff>
      <xdr:row>17</xdr:row>
      <xdr:rowOff>0</xdr:rowOff>
    </xdr:to>
    <xdr:sp macro="" textlink="">
      <xdr:nvSpPr>
        <xdr:cNvPr id="19" name="Flowchart: Alternate Process 18">
          <a:extLst>
            <a:ext uri="{FF2B5EF4-FFF2-40B4-BE49-F238E27FC236}">
              <a16:creationId xmlns:a16="http://schemas.microsoft.com/office/drawing/2014/main" id="{589D823F-5AA0-494A-B481-CFB1A7862277}"/>
            </a:ext>
          </a:extLst>
        </xdr:cNvPr>
        <xdr:cNvSpPr/>
      </xdr:nvSpPr>
      <xdr:spPr>
        <a:xfrm>
          <a:off x="276225" y="276224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228600</xdr:colOff>
      <xdr:row>20</xdr:row>
      <xdr:rowOff>104774</xdr:rowOff>
    </xdr:from>
    <xdr:to>
      <xdr:col>2</xdr:col>
      <xdr:colOff>152401</xdr:colOff>
      <xdr:row>23</xdr:row>
      <xdr:rowOff>9525</xdr:rowOff>
    </xdr:to>
    <xdr:sp macro="" textlink="'PIVOT TABLE'!C9">
      <xdr:nvSpPr>
        <xdr:cNvPr id="20" name="Flowchart: Alternate Process 19">
          <a:extLst>
            <a:ext uri="{FF2B5EF4-FFF2-40B4-BE49-F238E27FC236}">
              <a16:creationId xmlns:a16="http://schemas.microsoft.com/office/drawing/2014/main" id="{401DFE0B-AE4B-4602-92D2-1F08E8B21B63}"/>
            </a:ext>
          </a:extLst>
        </xdr:cNvPr>
        <xdr:cNvSpPr/>
      </xdr:nvSpPr>
      <xdr:spPr>
        <a:xfrm>
          <a:off x="228600" y="39147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MONTHLY</a:t>
          </a:r>
          <a:r>
            <a:rPr lang="en-US" sz="105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REPORT</a:t>
          </a:r>
          <a:endParaRPr lang="en-US" sz="105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200025</xdr:colOff>
      <xdr:row>27</xdr:row>
      <xdr:rowOff>114299</xdr:rowOff>
    </xdr:from>
    <xdr:to>
      <xdr:col>2</xdr:col>
      <xdr:colOff>123826</xdr:colOff>
      <xdr:row>30</xdr:row>
      <xdr:rowOff>19050</xdr:rowOff>
    </xdr:to>
    <xdr:sp macro="" textlink="'PIVOT TABLE'!R10">
      <xdr:nvSpPr>
        <xdr:cNvPr id="21" name="Flowchart: Alternate Process 20">
          <a:extLst>
            <a:ext uri="{FF2B5EF4-FFF2-40B4-BE49-F238E27FC236}">
              <a16:creationId xmlns:a16="http://schemas.microsoft.com/office/drawing/2014/main" id="{A7B0D9D9-6A6E-4558-99C3-66A4A17B7980}"/>
            </a:ext>
          </a:extLst>
        </xdr:cNvPr>
        <xdr:cNvSpPr/>
      </xdr:nvSpPr>
      <xdr:spPr>
        <a:xfrm>
          <a:off x="200025" y="52577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3</xdr:col>
      <xdr:colOff>295274</xdr:colOff>
      <xdr:row>21</xdr:row>
      <xdr:rowOff>133349</xdr:rowOff>
    </xdr:from>
    <xdr:to>
      <xdr:col>9</xdr:col>
      <xdr:colOff>542925</xdr:colOff>
      <xdr:row>29</xdr:row>
      <xdr:rowOff>180974</xdr:rowOff>
    </xdr:to>
    <xdr:graphicFrame macro="">
      <xdr:nvGraphicFramePr>
        <xdr:cNvPr id="24" name="Chart 23">
          <a:extLst>
            <a:ext uri="{FF2B5EF4-FFF2-40B4-BE49-F238E27FC236}">
              <a16:creationId xmlns:a16="http://schemas.microsoft.com/office/drawing/2014/main" id="{7C426DC8-F8A5-4F4B-AF52-529073873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371475</xdr:colOff>
      <xdr:row>22</xdr:row>
      <xdr:rowOff>38099</xdr:rowOff>
    </xdr:from>
    <xdr:to>
      <xdr:col>20</xdr:col>
      <xdr:colOff>19049</xdr:colOff>
      <xdr:row>30</xdr:row>
      <xdr:rowOff>180974</xdr:rowOff>
    </xdr:to>
    <xdr:graphicFrame macro="">
      <xdr:nvGraphicFramePr>
        <xdr:cNvPr id="25" name="Chart 24">
          <a:extLst>
            <a:ext uri="{FF2B5EF4-FFF2-40B4-BE49-F238E27FC236}">
              <a16:creationId xmlns:a16="http://schemas.microsoft.com/office/drawing/2014/main" id="{03A112BC-0E2A-410F-9C17-FD31BB6E5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9524</xdr:rowOff>
    </xdr:from>
    <xdr:to>
      <xdr:col>18</xdr:col>
      <xdr:colOff>295274</xdr:colOff>
      <xdr:row>33</xdr:row>
      <xdr:rowOff>9525</xdr:rowOff>
    </xdr:to>
    <xdr:sp macro="" textlink="">
      <xdr:nvSpPr>
        <xdr:cNvPr id="2" name="Flowchart: Alternate Process 1">
          <a:extLst>
            <a:ext uri="{FF2B5EF4-FFF2-40B4-BE49-F238E27FC236}">
              <a16:creationId xmlns:a16="http://schemas.microsoft.com/office/drawing/2014/main" id="{57A3179F-220E-4401-A3DC-9048A87A6219}"/>
            </a:ext>
          </a:extLst>
        </xdr:cNvPr>
        <xdr:cNvSpPr/>
      </xdr:nvSpPr>
      <xdr:spPr>
        <a:xfrm>
          <a:off x="0" y="771524"/>
          <a:ext cx="11268074" cy="55245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504825</xdr:colOff>
      <xdr:row>4</xdr:row>
      <xdr:rowOff>95249</xdr:rowOff>
    </xdr:from>
    <xdr:to>
      <xdr:col>21</xdr:col>
      <xdr:colOff>190499</xdr:colOff>
      <xdr:row>33</xdr:row>
      <xdr:rowOff>57150</xdr:rowOff>
    </xdr:to>
    <xdr:sp macro="" textlink="">
      <xdr:nvSpPr>
        <xdr:cNvPr id="3" name="Flowchart: Alternate Process 2">
          <a:extLst>
            <a:ext uri="{FF2B5EF4-FFF2-40B4-BE49-F238E27FC236}">
              <a16:creationId xmlns:a16="http://schemas.microsoft.com/office/drawing/2014/main" id="{1DFBD086-BFC6-46AF-95C8-6BB3514C60BE}"/>
            </a:ext>
          </a:extLst>
        </xdr:cNvPr>
        <xdr:cNvSpPr/>
      </xdr:nvSpPr>
      <xdr:spPr>
        <a:xfrm>
          <a:off x="1724025" y="857249"/>
          <a:ext cx="11268074" cy="5486401"/>
        </a:xfrm>
        <a:prstGeom prst="flowChartAlternateProcess">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314324</xdr:colOff>
      <xdr:row>14</xdr:row>
      <xdr:rowOff>95250</xdr:rowOff>
    </xdr:from>
    <xdr:to>
      <xdr:col>6</xdr:col>
      <xdr:colOff>485775</xdr:colOff>
      <xdr:row>17</xdr:row>
      <xdr:rowOff>136398</xdr:rowOff>
    </xdr:to>
    <xdr:sp macro="" textlink="">
      <xdr:nvSpPr>
        <xdr:cNvPr id="4" name="Flowchart: Alternate Process 3">
          <a:extLst>
            <a:ext uri="{FF2B5EF4-FFF2-40B4-BE49-F238E27FC236}">
              <a16:creationId xmlns:a16="http://schemas.microsoft.com/office/drawing/2014/main" id="{2AFCD5E7-6897-407E-9B9C-EBA9D0E7D82F}"/>
            </a:ext>
          </a:extLst>
        </xdr:cNvPr>
        <xdr:cNvSpPr/>
      </xdr:nvSpPr>
      <xdr:spPr>
        <a:xfrm>
          <a:off x="2143124" y="2762250"/>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390524</xdr:colOff>
      <xdr:row>14</xdr:row>
      <xdr:rowOff>180974</xdr:rowOff>
    </xdr:from>
    <xdr:to>
      <xdr:col>6</xdr:col>
      <xdr:colOff>314325</xdr:colOff>
      <xdr:row>17</xdr:row>
      <xdr:rowOff>85725</xdr:rowOff>
    </xdr:to>
    <xdr:sp macro="" textlink="'PIVOT TABLE'!C9">
      <xdr:nvSpPr>
        <xdr:cNvPr id="5" name="Flowchart: Alternate Process 4">
          <a:extLst>
            <a:ext uri="{FF2B5EF4-FFF2-40B4-BE49-F238E27FC236}">
              <a16:creationId xmlns:a16="http://schemas.microsoft.com/office/drawing/2014/main" id="{A140A057-9DB8-4D61-A948-C369D7CB0F21}"/>
            </a:ext>
          </a:extLst>
        </xdr:cNvPr>
        <xdr:cNvSpPr/>
      </xdr:nvSpPr>
      <xdr:spPr>
        <a:xfrm>
          <a:off x="2828924" y="28479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3765D90-DDEF-441E-805B-4353D71D4820}" type="TxLink">
            <a:rPr lang="en-US" sz="2000" b="0" i="0" u="none" strike="noStrike">
              <a:solidFill>
                <a:srgbClr val="000000"/>
              </a:solidFill>
              <a:latin typeface="Calibri"/>
              <a:cs typeface="Calibri"/>
            </a:rPr>
            <a:pPr algn="l"/>
            <a:t>183647</a:t>
          </a:fld>
          <a:endParaRPr lang="en-US" sz="2000"/>
        </a:p>
      </xdr:txBody>
    </xdr:sp>
    <xdr:clientData/>
  </xdr:twoCellAnchor>
  <xdr:twoCellAnchor>
    <xdr:from>
      <xdr:col>17</xdr:col>
      <xdr:colOff>152399</xdr:colOff>
      <xdr:row>15</xdr:row>
      <xdr:rowOff>104775</xdr:rowOff>
    </xdr:from>
    <xdr:to>
      <xdr:col>20</xdr:col>
      <xdr:colOff>323850</xdr:colOff>
      <xdr:row>18</xdr:row>
      <xdr:rowOff>145923</xdr:rowOff>
    </xdr:to>
    <xdr:sp macro="" textlink="">
      <xdr:nvSpPr>
        <xdr:cNvPr id="6" name="Flowchart: Alternate Process 5">
          <a:extLst>
            <a:ext uri="{FF2B5EF4-FFF2-40B4-BE49-F238E27FC236}">
              <a16:creationId xmlns:a16="http://schemas.microsoft.com/office/drawing/2014/main" id="{75F73238-A0E0-418E-A9BF-AC2ACAE9EC89}"/>
            </a:ext>
          </a:extLst>
        </xdr:cNvPr>
        <xdr:cNvSpPr/>
      </xdr:nvSpPr>
      <xdr:spPr>
        <a:xfrm>
          <a:off x="10515599" y="2962275"/>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333374</xdr:colOff>
      <xdr:row>15</xdr:row>
      <xdr:rowOff>190499</xdr:rowOff>
    </xdr:from>
    <xdr:to>
      <xdr:col>20</xdr:col>
      <xdr:colOff>257175</xdr:colOff>
      <xdr:row>18</xdr:row>
      <xdr:rowOff>95250</xdr:rowOff>
    </xdr:to>
    <xdr:sp macro="" textlink="'PIVOT TABLE'!C19">
      <xdr:nvSpPr>
        <xdr:cNvPr id="7" name="Flowchart: Alternate Process 6">
          <a:extLst>
            <a:ext uri="{FF2B5EF4-FFF2-40B4-BE49-F238E27FC236}">
              <a16:creationId xmlns:a16="http://schemas.microsoft.com/office/drawing/2014/main" id="{79E482C7-F1F8-4D1C-9461-EB4F852B7617}"/>
            </a:ext>
          </a:extLst>
        </xdr:cNvPr>
        <xdr:cNvSpPr/>
      </xdr:nvSpPr>
      <xdr:spPr>
        <a:xfrm>
          <a:off x="11306174" y="30479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9D53AB0-3E85-4BE8-B9D2-5441A7E58AF2}" type="TxLink">
            <a:rPr lang="en-US" sz="2800" b="0" i="0" u="none" strike="noStrike">
              <a:solidFill>
                <a:srgbClr val="000000"/>
              </a:solidFill>
              <a:latin typeface="Calibri"/>
              <a:cs typeface="Calibri"/>
            </a:rPr>
            <a:pPr algn="l"/>
            <a:t>6892</a:t>
          </a:fld>
          <a:endParaRPr lang="en-US" sz="2800"/>
        </a:p>
      </xdr:txBody>
    </xdr:sp>
    <xdr:clientData/>
  </xdr:twoCellAnchor>
  <xdr:twoCellAnchor>
    <xdr:from>
      <xdr:col>3</xdr:col>
      <xdr:colOff>561975</xdr:colOff>
      <xdr:row>10</xdr:row>
      <xdr:rowOff>152400</xdr:rowOff>
    </xdr:from>
    <xdr:to>
      <xdr:col>6</xdr:col>
      <xdr:colOff>428625</xdr:colOff>
      <xdr:row>13</xdr:row>
      <xdr:rowOff>95250</xdr:rowOff>
    </xdr:to>
    <xdr:sp macro="" textlink="">
      <xdr:nvSpPr>
        <xdr:cNvPr id="8" name="Rectangle: Beveled 7">
          <a:extLst>
            <a:ext uri="{FF2B5EF4-FFF2-40B4-BE49-F238E27FC236}">
              <a16:creationId xmlns:a16="http://schemas.microsoft.com/office/drawing/2014/main" id="{5CC96F50-CE93-44AF-91EB-C3EFD3972E1C}"/>
            </a:ext>
          </a:extLst>
        </xdr:cNvPr>
        <xdr:cNvSpPr/>
      </xdr:nvSpPr>
      <xdr:spPr>
        <a:xfrm>
          <a:off x="2390775" y="2057400"/>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ANALYTICS</a:t>
          </a:r>
          <a:endParaRPr lang="en-US" sz="1100"/>
        </a:p>
      </xdr:txBody>
    </xdr:sp>
    <xdr:clientData/>
  </xdr:twoCellAnchor>
  <xdr:twoCellAnchor>
    <xdr:from>
      <xdr:col>17</xdr:col>
      <xdr:colOff>104775</xdr:colOff>
      <xdr:row>12</xdr:row>
      <xdr:rowOff>66675</xdr:rowOff>
    </xdr:from>
    <xdr:to>
      <xdr:col>19</xdr:col>
      <xdr:colOff>581025</xdr:colOff>
      <xdr:row>15</xdr:row>
      <xdr:rowOff>9525</xdr:rowOff>
    </xdr:to>
    <xdr:sp macro="" textlink="">
      <xdr:nvSpPr>
        <xdr:cNvPr id="9" name="Rectangle: Beveled 8">
          <a:extLst>
            <a:ext uri="{FF2B5EF4-FFF2-40B4-BE49-F238E27FC236}">
              <a16:creationId xmlns:a16="http://schemas.microsoft.com/office/drawing/2014/main" id="{471AC74A-F745-4BB3-A362-EC088918E070}"/>
            </a:ext>
          </a:extLst>
        </xdr:cNvPr>
        <xdr:cNvSpPr/>
      </xdr:nvSpPr>
      <xdr:spPr>
        <a:xfrm>
          <a:off x="10467975" y="2352675"/>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US" sz="1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MEN DATA</a:t>
          </a:r>
          <a:endPar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editAs="oneCell">
    <xdr:from>
      <xdr:col>3</xdr:col>
      <xdr:colOff>66675</xdr:colOff>
      <xdr:row>10</xdr:row>
      <xdr:rowOff>171450</xdr:rowOff>
    </xdr:from>
    <xdr:to>
      <xdr:col>3</xdr:col>
      <xdr:colOff>600075</xdr:colOff>
      <xdr:row>13</xdr:row>
      <xdr:rowOff>85725</xdr:rowOff>
    </xdr:to>
    <xdr:pic>
      <xdr:nvPicPr>
        <xdr:cNvPr id="10" name="Graphic 9" descr="Bar graph with upward trend">
          <a:extLst>
            <a:ext uri="{FF2B5EF4-FFF2-40B4-BE49-F238E27FC236}">
              <a16:creationId xmlns:a16="http://schemas.microsoft.com/office/drawing/2014/main" id="{0F2D1FC3-86E5-483F-8B1D-8E70CA50D6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95475" y="2076450"/>
          <a:ext cx="533400" cy="485775"/>
        </a:xfrm>
        <a:prstGeom prst="rect">
          <a:avLst/>
        </a:prstGeom>
      </xdr:spPr>
    </xdr:pic>
    <xdr:clientData/>
  </xdr:twoCellAnchor>
  <xdr:twoCellAnchor editAs="oneCell">
    <xdr:from>
      <xdr:col>3</xdr:col>
      <xdr:colOff>209550</xdr:colOff>
      <xdr:row>14</xdr:row>
      <xdr:rowOff>142875</xdr:rowOff>
    </xdr:from>
    <xdr:to>
      <xdr:col>4</xdr:col>
      <xdr:colOff>333375</xdr:colOff>
      <xdr:row>17</xdr:row>
      <xdr:rowOff>133350</xdr:rowOff>
    </xdr:to>
    <xdr:pic>
      <xdr:nvPicPr>
        <xdr:cNvPr id="11" name="Graphic 10" descr="Dollar">
          <a:extLst>
            <a:ext uri="{FF2B5EF4-FFF2-40B4-BE49-F238E27FC236}">
              <a16:creationId xmlns:a16="http://schemas.microsoft.com/office/drawing/2014/main" id="{EFFAB612-ACD6-41F7-ABCA-58D90283B2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038350" y="2809875"/>
          <a:ext cx="733425" cy="561975"/>
        </a:xfrm>
        <a:prstGeom prst="rect">
          <a:avLst/>
        </a:prstGeom>
      </xdr:spPr>
    </xdr:pic>
    <xdr:clientData/>
  </xdr:twoCellAnchor>
  <xdr:twoCellAnchor editAs="oneCell">
    <xdr:from>
      <xdr:col>17</xdr:col>
      <xdr:colOff>257174</xdr:colOff>
      <xdr:row>15</xdr:row>
      <xdr:rowOff>19050</xdr:rowOff>
    </xdr:from>
    <xdr:to>
      <xdr:col>18</xdr:col>
      <xdr:colOff>257175</xdr:colOff>
      <xdr:row>19</xdr:row>
      <xdr:rowOff>28575</xdr:rowOff>
    </xdr:to>
    <xdr:pic>
      <xdr:nvPicPr>
        <xdr:cNvPr id="12" name="Graphic 11" descr="Business Growth">
          <a:extLst>
            <a:ext uri="{FF2B5EF4-FFF2-40B4-BE49-F238E27FC236}">
              <a16:creationId xmlns:a16="http://schemas.microsoft.com/office/drawing/2014/main" id="{C39A779F-D2C9-480C-86DC-15F98459DED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620374" y="2876550"/>
          <a:ext cx="609601" cy="771525"/>
        </a:xfrm>
        <a:prstGeom prst="rect">
          <a:avLst/>
        </a:prstGeom>
      </xdr:spPr>
    </xdr:pic>
    <xdr:clientData/>
  </xdr:twoCellAnchor>
  <xdr:twoCellAnchor>
    <xdr:from>
      <xdr:col>3</xdr:col>
      <xdr:colOff>85724</xdr:colOff>
      <xdr:row>20</xdr:row>
      <xdr:rowOff>133350</xdr:rowOff>
    </xdr:from>
    <xdr:to>
      <xdr:col>10</xdr:col>
      <xdr:colOff>76199</xdr:colOff>
      <xdr:row>32</xdr:row>
      <xdr:rowOff>28575</xdr:rowOff>
    </xdr:to>
    <xdr:sp macro="" textlink="">
      <xdr:nvSpPr>
        <xdr:cNvPr id="13" name="Rectangle: Rounded Corners 12">
          <a:extLst>
            <a:ext uri="{FF2B5EF4-FFF2-40B4-BE49-F238E27FC236}">
              <a16:creationId xmlns:a16="http://schemas.microsoft.com/office/drawing/2014/main" id="{254A80AC-EBC5-4E61-A7EA-E1457B8D428B}"/>
            </a:ext>
          </a:extLst>
        </xdr:cNvPr>
        <xdr:cNvSpPr/>
      </xdr:nvSpPr>
      <xdr:spPr>
        <a:xfrm>
          <a:off x="1914524" y="3943350"/>
          <a:ext cx="4257675" cy="2181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523874</xdr:colOff>
      <xdr:row>21</xdr:row>
      <xdr:rowOff>9525</xdr:rowOff>
    </xdr:from>
    <xdr:to>
      <xdr:col>20</xdr:col>
      <xdr:colOff>514349</xdr:colOff>
      <xdr:row>32</xdr:row>
      <xdr:rowOff>28575</xdr:rowOff>
    </xdr:to>
    <xdr:sp macro="" textlink="">
      <xdr:nvSpPr>
        <xdr:cNvPr id="14" name="Rectangle: Rounded Corners 13">
          <a:extLst>
            <a:ext uri="{FF2B5EF4-FFF2-40B4-BE49-F238E27FC236}">
              <a16:creationId xmlns:a16="http://schemas.microsoft.com/office/drawing/2014/main" id="{8870261A-ED5B-48CA-85FA-6CF62A5D5628}"/>
            </a:ext>
          </a:extLst>
        </xdr:cNvPr>
        <xdr:cNvSpPr/>
      </xdr:nvSpPr>
      <xdr:spPr>
        <a:xfrm>
          <a:off x="8448674" y="4010025"/>
          <a:ext cx="4257675" cy="2114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485775</xdr:colOff>
      <xdr:row>4</xdr:row>
      <xdr:rowOff>152399</xdr:rowOff>
    </xdr:from>
    <xdr:to>
      <xdr:col>19</xdr:col>
      <xdr:colOff>600075</xdr:colOff>
      <xdr:row>8</xdr:row>
      <xdr:rowOff>28574</xdr:rowOff>
    </xdr:to>
    <mc:AlternateContent xmlns:mc="http://schemas.openxmlformats.org/markup-compatibility/2006" xmlns:a14="http://schemas.microsoft.com/office/drawing/2010/main">
      <mc:Choice Requires="a14">
        <xdr:graphicFrame macro="">
          <xdr:nvGraphicFramePr>
            <xdr:cNvPr id="15" name="Salesman 1">
              <a:extLst>
                <a:ext uri="{FF2B5EF4-FFF2-40B4-BE49-F238E27FC236}">
                  <a16:creationId xmlns:a16="http://schemas.microsoft.com/office/drawing/2014/main" id="{04141CC8-FAC0-4402-BE51-2236876CAA97}"/>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mlns="">
        <xdr:sp macro="" textlink="">
          <xdr:nvSpPr>
            <xdr:cNvPr id="0" name=""/>
            <xdr:cNvSpPr>
              <a:spLocks noTextEdit="1"/>
            </xdr:cNvSpPr>
          </xdr:nvSpPr>
          <xdr:spPr>
            <a:xfrm>
              <a:off x="8410575" y="914399"/>
              <a:ext cx="37719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4</xdr:row>
      <xdr:rowOff>114299</xdr:rowOff>
    </xdr:from>
    <xdr:to>
      <xdr:col>12</xdr:col>
      <xdr:colOff>104775</xdr:colOff>
      <xdr:row>10</xdr:row>
      <xdr:rowOff>57148</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99759EBA-F0C4-48DB-AFD0-12C86BB1389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76500" y="876299"/>
              <a:ext cx="4943475" cy="10858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371475</xdr:colOff>
      <xdr:row>8</xdr:row>
      <xdr:rowOff>76199</xdr:rowOff>
    </xdr:from>
    <xdr:to>
      <xdr:col>19</xdr:col>
      <xdr:colOff>323850</xdr:colOff>
      <xdr:row>11</xdr:row>
      <xdr:rowOff>123823</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0399204F-702C-435F-ACDA-08521ABBFF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05875" y="1600199"/>
              <a:ext cx="30003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7</xdr:row>
      <xdr:rowOff>28574</xdr:rowOff>
    </xdr:from>
    <xdr:to>
      <xdr:col>2</xdr:col>
      <xdr:colOff>219076</xdr:colOff>
      <xdr:row>9</xdr:row>
      <xdr:rowOff>123825</xdr:rowOff>
    </xdr:to>
    <xdr:sp macro="" textlink="'PIVOT TABLE'!R10">
      <xdr:nvSpPr>
        <xdr:cNvPr id="20" name="Flowchart: Alternate Process 19">
          <a:extLst>
            <a:ext uri="{FF2B5EF4-FFF2-40B4-BE49-F238E27FC236}">
              <a16:creationId xmlns:a16="http://schemas.microsoft.com/office/drawing/2014/main" id="{605C4D0C-5038-47C1-A9FD-7C73DDB5D940}"/>
            </a:ext>
          </a:extLst>
        </xdr:cNvPr>
        <xdr:cNvSpPr/>
      </xdr:nvSpPr>
      <xdr:spPr>
        <a:xfrm>
          <a:off x="295275" y="13620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276225</xdr:colOff>
      <xdr:row>14</xdr:row>
      <xdr:rowOff>95249</xdr:rowOff>
    </xdr:from>
    <xdr:to>
      <xdr:col>2</xdr:col>
      <xdr:colOff>200026</xdr:colOff>
      <xdr:row>17</xdr:row>
      <xdr:rowOff>0</xdr:rowOff>
    </xdr:to>
    <xdr:sp macro="" textlink="">
      <xdr:nvSpPr>
        <xdr:cNvPr id="21" name="Flowchart: Alternate Process 20">
          <a:extLst>
            <a:ext uri="{FF2B5EF4-FFF2-40B4-BE49-F238E27FC236}">
              <a16:creationId xmlns:a16="http://schemas.microsoft.com/office/drawing/2014/main" id="{6448CFB1-0610-4E39-8D38-0380EF20F0A4}"/>
            </a:ext>
          </a:extLst>
        </xdr:cNvPr>
        <xdr:cNvSpPr/>
      </xdr:nvSpPr>
      <xdr:spPr>
        <a:xfrm>
          <a:off x="276225" y="276224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S.M.P</a:t>
          </a:r>
        </a:p>
      </xdr:txBody>
    </xdr:sp>
    <xdr:clientData/>
  </xdr:twoCellAnchor>
  <xdr:twoCellAnchor>
    <xdr:from>
      <xdr:col>0</xdr:col>
      <xdr:colOff>228600</xdr:colOff>
      <xdr:row>20</xdr:row>
      <xdr:rowOff>104774</xdr:rowOff>
    </xdr:from>
    <xdr:to>
      <xdr:col>2</xdr:col>
      <xdr:colOff>152401</xdr:colOff>
      <xdr:row>23</xdr:row>
      <xdr:rowOff>9525</xdr:rowOff>
    </xdr:to>
    <xdr:sp macro="" textlink="'PIVOT TABLE'!C9">
      <xdr:nvSpPr>
        <xdr:cNvPr id="22" name="Flowchart: Alternate Process 21">
          <a:extLst>
            <a:ext uri="{FF2B5EF4-FFF2-40B4-BE49-F238E27FC236}">
              <a16:creationId xmlns:a16="http://schemas.microsoft.com/office/drawing/2014/main" id="{AEC6327A-0E17-44CF-9519-1A86AE63A2EA}"/>
            </a:ext>
          </a:extLst>
        </xdr:cNvPr>
        <xdr:cNvSpPr/>
      </xdr:nvSpPr>
      <xdr:spPr>
        <a:xfrm>
          <a:off x="228600" y="39147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200025</xdr:colOff>
      <xdr:row>27</xdr:row>
      <xdr:rowOff>114299</xdr:rowOff>
    </xdr:from>
    <xdr:to>
      <xdr:col>2</xdr:col>
      <xdr:colOff>123826</xdr:colOff>
      <xdr:row>30</xdr:row>
      <xdr:rowOff>19050</xdr:rowOff>
    </xdr:to>
    <xdr:sp macro="" textlink="'PIVOT TABLE'!R10">
      <xdr:nvSpPr>
        <xdr:cNvPr id="23" name="Flowchart: Alternate Process 22">
          <a:extLst>
            <a:ext uri="{FF2B5EF4-FFF2-40B4-BE49-F238E27FC236}">
              <a16:creationId xmlns:a16="http://schemas.microsoft.com/office/drawing/2014/main" id="{733F8930-B64C-4DDC-A15E-E7187D754337}"/>
            </a:ext>
          </a:extLst>
        </xdr:cNvPr>
        <xdr:cNvSpPr/>
      </xdr:nvSpPr>
      <xdr:spPr>
        <a:xfrm>
          <a:off x="200025" y="52577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3</xdr:col>
      <xdr:colOff>523874</xdr:colOff>
      <xdr:row>21</xdr:row>
      <xdr:rowOff>142875</xdr:rowOff>
    </xdr:from>
    <xdr:to>
      <xdr:col>9</xdr:col>
      <xdr:colOff>161924</xdr:colOff>
      <xdr:row>30</xdr:row>
      <xdr:rowOff>38100</xdr:rowOff>
    </xdr:to>
    <xdr:graphicFrame macro="">
      <xdr:nvGraphicFramePr>
        <xdr:cNvPr id="24" name="Chart 23">
          <a:extLst>
            <a:ext uri="{FF2B5EF4-FFF2-40B4-BE49-F238E27FC236}">
              <a16:creationId xmlns:a16="http://schemas.microsoft.com/office/drawing/2014/main" id="{44D61480-631E-4E20-B1C7-2B158CBEC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104774</xdr:colOff>
      <xdr:row>22</xdr:row>
      <xdr:rowOff>76200</xdr:rowOff>
    </xdr:from>
    <xdr:to>
      <xdr:col>20</xdr:col>
      <xdr:colOff>371475</xdr:colOff>
      <xdr:row>31</xdr:row>
      <xdr:rowOff>0</xdr:rowOff>
    </xdr:to>
    <xdr:graphicFrame macro="">
      <xdr:nvGraphicFramePr>
        <xdr:cNvPr id="25" name="Chart 24">
          <a:extLst>
            <a:ext uri="{FF2B5EF4-FFF2-40B4-BE49-F238E27FC236}">
              <a16:creationId xmlns:a16="http://schemas.microsoft.com/office/drawing/2014/main" id="{009A2D93-CB73-4FEA-B995-C1071D15F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438150</xdr:colOff>
      <xdr:row>7</xdr:row>
      <xdr:rowOff>161924</xdr:rowOff>
    </xdr:from>
    <xdr:to>
      <xdr:col>2</xdr:col>
      <xdr:colOff>60271</xdr:colOff>
      <xdr:row>9</xdr:row>
      <xdr:rowOff>0</xdr:rowOff>
    </xdr:to>
    <xdr:pic>
      <xdr:nvPicPr>
        <xdr:cNvPr id="18" name="Picture 17">
          <a:extLst>
            <a:ext uri="{FF2B5EF4-FFF2-40B4-BE49-F238E27FC236}">
              <a16:creationId xmlns:a16="http://schemas.microsoft.com/office/drawing/2014/main" id="{36985C6F-A78C-4C8A-8B4C-2DDBA7B16A1E}"/>
            </a:ext>
          </a:extLst>
        </xdr:cNvPr>
        <xdr:cNvPicPr>
          <a:picLocks noChangeAspect="1"/>
        </xdr:cNvPicPr>
      </xdr:nvPicPr>
      <xdr:blipFill>
        <a:blip xmlns:r="http://schemas.openxmlformats.org/officeDocument/2006/relationships" r:embed="rId9"/>
        <a:stretch>
          <a:fillRect/>
        </a:stretch>
      </xdr:blipFill>
      <xdr:spPr>
        <a:xfrm>
          <a:off x="438150" y="1495424"/>
          <a:ext cx="841321" cy="2190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9524</xdr:rowOff>
    </xdr:from>
    <xdr:to>
      <xdr:col>18</xdr:col>
      <xdr:colOff>295274</xdr:colOff>
      <xdr:row>33</xdr:row>
      <xdr:rowOff>9525</xdr:rowOff>
    </xdr:to>
    <xdr:sp macro="" textlink="">
      <xdr:nvSpPr>
        <xdr:cNvPr id="2" name="Flowchart: Alternate Process 1">
          <a:extLst>
            <a:ext uri="{FF2B5EF4-FFF2-40B4-BE49-F238E27FC236}">
              <a16:creationId xmlns:a16="http://schemas.microsoft.com/office/drawing/2014/main" id="{4EA58CB1-A7E8-41E9-B3D6-30144D66298F}"/>
            </a:ext>
          </a:extLst>
        </xdr:cNvPr>
        <xdr:cNvSpPr/>
      </xdr:nvSpPr>
      <xdr:spPr>
        <a:xfrm>
          <a:off x="0" y="771524"/>
          <a:ext cx="11268074" cy="5524501"/>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4</xdr:row>
      <xdr:rowOff>95249</xdr:rowOff>
    </xdr:from>
    <xdr:to>
      <xdr:col>21</xdr:col>
      <xdr:colOff>219074</xdr:colOff>
      <xdr:row>33</xdr:row>
      <xdr:rowOff>57150</xdr:rowOff>
    </xdr:to>
    <xdr:sp macro="" textlink="">
      <xdr:nvSpPr>
        <xdr:cNvPr id="3" name="Flowchart: Alternate Process 2">
          <a:extLst>
            <a:ext uri="{FF2B5EF4-FFF2-40B4-BE49-F238E27FC236}">
              <a16:creationId xmlns:a16="http://schemas.microsoft.com/office/drawing/2014/main" id="{53308F39-B1E4-4ECE-913A-D1E47F23160B}"/>
            </a:ext>
          </a:extLst>
        </xdr:cNvPr>
        <xdr:cNvSpPr/>
      </xdr:nvSpPr>
      <xdr:spPr>
        <a:xfrm>
          <a:off x="1752600" y="857249"/>
          <a:ext cx="11268074" cy="5486401"/>
        </a:xfrm>
        <a:prstGeom prst="flowChartAlternateProcess">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314324</xdr:colOff>
      <xdr:row>14</xdr:row>
      <xdr:rowOff>95250</xdr:rowOff>
    </xdr:from>
    <xdr:to>
      <xdr:col>6</xdr:col>
      <xdr:colOff>485775</xdr:colOff>
      <xdr:row>17</xdr:row>
      <xdr:rowOff>136398</xdr:rowOff>
    </xdr:to>
    <xdr:sp macro="" textlink="">
      <xdr:nvSpPr>
        <xdr:cNvPr id="4" name="Flowchart: Alternate Process 3">
          <a:extLst>
            <a:ext uri="{FF2B5EF4-FFF2-40B4-BE49-F238E27FC236}">
              <a16:creationId xmlns:a16="http://schemas.microsoft.com/office/drawing/2014/main" id="{EE93E54A-2541-4E1B-AA98-8F096F8F2E2F}"/>
            </a:ext>
          </a:extLst>
        </xdr:cNvPr>
        <xdr:cNvSpPr/>
      </xdr:nvSpPr>
      <xdr:spPr>
        <a:xfrm>
          <a:off x="2143124" y="2762250"/>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390524</xdr:colOff>
      <xdr:row>14</xdr:row>
      <xdr:rowOff>180974</xdr:rowOff>
    </xdr:from>
    <xdr:to>
      <xdr:col>6</xdr:col>
      <xdr:colOff>314325</xdr:colOff>
      <xdr:row>17</xdr:row>
      <xdr:rowOff>85725</xdr:rowOff>
    </xdr:to>
    <xdr:sp macro="" textlink="'PIVOT TABLE'!C9">
      <xdr:nvSpPr>
        <xdr:cNvPr id="5" name="Flowchart: Alternate Process 4">
          <a:extLst>
            <a:ext uri="{FF2B5EF4-FFF2-40B4-BE49-F238E27FC236}">
              <a16:creationId xmlns:a16="http://schemas.microsoft.com/office/drawing/2014/main" id="{1F2E3F56-71AC-4D59-BD30-215E357446CE}"/>
            </a:ext>
          </a:extLst>
        </xdr:cNvPr>
        <xdr:cNvSpPr/>
      </xdr:nvSpPr>
      <xdr:spPr>
        <a:xfrm>
          <a:off x="2828924" y="28479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3765D90-DDEF-441E-805B-4353D71D4820}" type="TxLink">
            <a:rPr lang="en-US" sz="2000" b="0" i="0" u="none" strike="noStrike">
              <a:solidFill>
                <a:srgbClr val="000000"/>
              </a:solidFill>
              <a:latin typeface="Calibri"/>
              <a:cs typeface="Calibri"/>
            </a:rPr>
            <a:pPr algn="l"/>
            <a:t>183647</a:t>
          </a:fld>
          <a:endParaRPr lang="en-US" sz="2000"/>
        </a:p>
      </xdr:txBody>
    </xdr:sp>
    <xdr:clientData/>
  </xdr:twoCellAnchor>
  <xdr:twoCellAnchor>
    <xdr:from>
      <xdr:col>17</xdr:col>
      <xdr:colOff>152399</xdr:colOff>
      <xdr:row>15</xdr:row>
      <xdr:rowOff>104775</xdr:rowOff>
    </xdr:from>
    <xdr:to>
      <xdr:col>20</xdr:col>
      <xdr:colOff>323850</xdr:colOff>
      <xdr:row>18</xdr:row>
      <xdr:rowOff>145923</xdr:rowOff>
    </xdr:to>
    <xdr:sp macro="" textlink="">
      <xdr:nvSpPr>
        <xdr:cNvPr id="7" name="Flowchart: Alternate Process 6">
          <a:extLst>
            <a:ext uri="{FF2B5EF4-FFF2-40B4-BE49-F238E27FC236}">
              <a16:creationId xmlns:a16="http://schemas.microsoft.com/office/drawing/2014/main" id="{62387399-6224-4FB4-8B70-655E5446A369}"/>
            </a:ext>
          </a:extLst>
        </xdr:cNvPr>
        <xdr:cNvSpPr/>
      </xdr:nvSpPr>
      <xdr:spPr>
        <a:xfrm>
          <a:off x="10515599" y="2962275"/>
          <a:ext cx="2000251" cy="612648"/>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333374</xdr:colOff>
      <xdr:row>15</xdr:row>
      <xdr:rowOff>190499</xdr:rowOff>
    </xdr:from>
    <xdr:to>
      <xdr:col>20</xdr:col>
      <xdr:colOff>257175</xdr:colOff>
      <xdr:row>18</xdr:row>
      <xdr:rowOff>95250</xdr:rowOff>
    </xdr:to>
    <xdr:sp macro="" textlink="'PIVOT TABLE'!C19">
      <xdr:nvSpPr>
        <xdr:cNvPr id="8" name="Flowchart: Alternate Process 7">
          <a:extLst>
            <a:ext uri="{FF2B5EF4-FFF2-40B4-BE49-F238E27FC236}">
              <a16:creationId xmlns:a16="http://schemas.microsoft.com/office/drawing/2014/main" id="{4AF347A3-29A6-44D2-9640-E9125E01642F}"/>
            </a:ext>
          </a:extLst>
        </xdr:cNvPr>
        <xdr:cNvSpPr/>
      </xdr:nvSpPr>
      <xdr:spPr>
        <a:xfrm>
          <a:off x="11306174" y="30479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9D53AB0-3E85-4BE8-B9D2-5441A7E58AF2}" type="TxLink">
            <a:rPr lang="en-US" sz="2800" b="0" i="0" u="none" strike="noStrike">
              <a:solidFill>
                <a:srgbClr val="000000"/>
              </a:solidFill>
              <a:latin typeface="Calibri"/>
              <a:cs typeface="Calibri"/>
            </a:rPr>
            <a:pPr algn="l"/>
            <a:t>6892</a:t>
          </a:fld>
          <a:endParaRPr lang="en-US" sz="2800"/>
        </a:p>
      </xdr:txBody>
    </xdr:sp>
    <xdr:clientData/>
  </xdr:twoCellAnchor>
  <xdr:twoCellAnchor>
    <xdr:from>
      <xdr:col>3</xdr:col>
      <xdr:colOff>561975</xdr:colOff>
      <xdr:row>10</xdr:row>
      <xdr:rowOff>152400</xdr:rowOff>
    </xdr:from>
    <xdr:to>
      <xdr:col>6</xdr:col>
      <xdr:colOff>428625</xdr:colOff>
      <xdr:row>13</xdr:row>
      <xdr:rowOff>95250</xdr:rowOff>
    </xdr:to>
    <xdr:sp macro="" textlink="">
      <xdr:nvSpPr>
        <xdr:cNvPr id="9" name="Rectangle: Beveled 8">
          <a:extLst>
            <a:ext uri="{FF2B5EF4-FFF2-40B4-BE49-F238E27FC236}">
              <a16:creationId xmlns:a16="http://schemas.microsoft.com/office/drawing/2014/main" id="{F9CF2DFA-3D21-4A51-BF75-6A7195017713}"/>
            </a:ext>
          </a:extLst>
        </xdr:cNvPr>
        <xdr:cNvSpPr/>
      </xdr:nvSpPr>
      <xdr:spPr>
        <a:xfrm>
          <a:off x="2390775" y="2057400"/>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2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ANALYTICS</a:t>
          </a:r>
          <a:endParaRPr lang="en-US" sz="1100"/>
        </a:p>
      </xdr:txBody>
    </xdr:sp>
    <xdr:clientData/>
  </xdr:twoCellAnchor>
  <xdr:twoCellAnchor>
    <xdr:from>
      <xdr:col>17</xdr:col>
      <xdr:colOff>104775</xdr:colOff>
      <xdr:row>12</xdr:row>
      <xdr:rowOff>66675</xdr:rowOff>
    </xdr:from>
    <xdr:to>
      <xdr:col>19</xdr:col>
      <xdr:colOff>581025</xdr:colOff>
      <xdr:row>15</xdr:row>
      <xdr:rowOff>9525</xdr:rowOff>
    </xdr:to>
    <xdr:sp macro="" textlink="">
      <xdr:nvSpPr>
        <xdr:cNvPr id="10" name="Rectangle: Beveled 9">
          <a:hlinkClick xmlns:r="http://schemas.openxmlformats.org/officeDocument/2006/relationships" r:id="rId1"/>
          <a:extLst>
            <a:ext uri="{FF2B5EF4-FFF2-40B4-BE49-F238E27FC236}">
              <a16:creationId xmlns:a16="http://schemas.microsoft.com/office/drawing/2014/main" id="{62630FEF-CBD4-4A08-A5D3-9B0C8605FAC3}"/>
            </a:ext>
          </a:extLst>
        </xdr:cNvPr>
        <xdr:cNvSpPr/>
      </xdr:nvSpPr>
      <xdr:spPr>
        <a:xfrm>
          <a:off x="10467975" y="2352675"/>
          <a:ext cx="1695450" cy="514350"/>
        </a:xfrm>
        <a:prstGeom prst="bevel">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DASHBOARD</a:t>
          </a:r>
        </a:p>
      </xdr:txBody>
    </xdr:sp>
    <xdr:clientData/>
  </xdr:twoCellAnchor>
  <xdr:twoCellAnchor editAs="oneCell">
    <xdr:from>
      <xdr:col>3</xdr:col>
      <xdr:colOff>66675</xdr:colOff>
      <xdr:row>10</xdr:row>
      <xdr:rowOff>171450</xdr:rowOff>
    </xdr:from>
    <xdr:to>
      <xdr:col>3</xdr:col>
      <xdr:colOff>600075</xdr:colOff>
      <xdr:row>13</xdr:row>
      <xdr:rowOff>85725</xdr:rowOff>
    </xdr:to>
    <xdr:pic>
      <xdr:nvPicPr>
        <xdr:cNvPr id="12" name="Graphic 11" descr="Bar graph with upward trend">
          <a:extLst>
            <a:ext uri="{FF2B5EF4-FFF2-40B4-BE49-F238E27FC236}">
              <a16:creationId xmlns:a16="http://schemas.microsoft.com/office/drawing/2014/main" id="{646E241C-141E-4F38-97C1-8835322867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95475" y="2076450"/>
          <a:ext cx="533400" cy="485775"/>
        </a:xfrm>
        <a:prstGeom prst="rect">
          <a:avLst/>
        </a:prstGeom>
      </xdr:spPr>
    </xdr:pic>
    <xdr:clientData/>
  </xdr:twoCellAnchor>
  <xdr:twoCellAnchor editAs="oneCell">
    <xdr:from>
      <xdr:col>3</xdr:col>
      <xdr:colOff>209550</xdr:colOff>
      <xdr:row>14</xdr:row>
      <xdr:rowOff>142875</xdr:rowOff>
    </xdr:from>
    <xdr:to>
      <xdr:col>4</xdr:col>
      <xdr:colOff>333375</xdr:colOff>
      <xdr:row>17</xdr:row>
      <xdr:rowOff>133350</xdr:rowOff>
    </xdr:to>
    <xdr:pic>
      <xdr:nvPicPr>
        <xdr:cNvPr id="14" name="Graphic 13" descr="Dollar">
          <a:extLst>
            <a:ext uri="{FF2B5EF4-FFF2-40B4-BE49-F238E27FC236}">
              <a16:creationId xmlns:a16="http://schemas.microsoft.com/office/drawing/2014/main" id="{C86ABA79-767D-4AD1-85E8-D29B7E7A641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38350" y="2809875"/>
          <a:ext cx="733425" cy="561975"/>
        </a:xfrm>
        <a:prstGeom prst="rect">
          <a:avLst/>
        </a:prstGeom>
      </xdr:spPr>
    </xdr:pic>
    <xdr:clientData/>
  </xdr:twoCellAnchor>
  <xdr:twoCellAnchor editAs="oneCell">
    <xdr:from>
      <xdr:col>17</xdr:col>
      <xdr:colOff>257174</xdr:colOff>
      <xdr:row>15</xdr:row>
      <xdr:rowOff>19050</xdr:rowOff>
    </xdr:from>
    <xdr:to>
      <xdr:col>18</xdr:col>
      <xdr:colOff>257175</xdr:colOff>
      <xdr:row>19</xdr:row>
      <xdr:rowOff>28575</xdr:rowOff>
    </xdr:to>
    <xdr:pic>
      <xdr:nvPicPr>
        <xdr:cNvPr id="16" name="Graphic 15" descr="Business Growth">
          <a:extLst>
            <a:ext uri="{FF2B5EF4-FFF2-40B4-BE49-F238E27FC236}">
              <a16:creationId xmlns:a16="http://schemas.microsoft.com/office/drawing/2014/main" id="{F9D0E818-0822-4CE6-8E03-AFCAF0A81D5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620374" y="2876550"/>
          <a:ext cx="609601" cy="771525"/>
        </a:xfrm>
        <a:prstGeom prst="rect">
          <a:avLst/>
        </a:prstGeom>
      </xdr:spPr>
    </xdr:pic>
    <xdr:clientData/>
  </xdr:twoCellAnchor>
  <xdr:twoCellAnchor>
    <xdr:from>
      <xdr:col>3</xdr:col>
      <xdr:colOff>85724</xdr:colOff>
      <xdr:row>20</xdr:row>
      <xdr:rowOff>133350</xdr:rowOff>
    </xdr:from>
    <xdr:to>
      <xdr:col>10</xdr:col>
      <xdr:colOff>76199</xdr:colOff>
      <xdr:row>32</xdr:row>
      <xdr:rowOff>28575</xdr:rowOff>
    </xdr:to>
    <xdr:sp macro="" textlink="">
      <xdr:nvSpPr>
        <xdr:cNvPr id="21" name="Rectangle: Rounded Corners 20">
          <a:extLst>
            <a:ext uri="{FF2B5EF4-FFF2-40B4-BE49-F238E27FC236}">
              <a16:creationId xmlns:a16="http://schemas.microsoft.com/office/drawing/2014/main" id="{087966C0-5671-4054-9F54-846980D2285D}"/>
            </a:ext>
          </a:extLst>
        </xdr:cNvPr>
        <xdr:cNvSpPr/>
      </xdr:nvSpPr>
      <xdr:spPr>
        <a:xfrm>
          <a:off x="1914524" y="3943350"/>
          <a:ext cx="4257675" cy="2181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523874</xdr:colOff>
      <xdr:row>21</xdr:row>
      <xdr:rowOff>9525</xdr:rowOff>
    </xdr:from>
    <xdr:to>
      <xdr:col>20</xdr:col>
      <xdr:colOff>514349</xdr:colOff>
      <xdr:row>32</xdr:row>
      <xdr:rowOff>28575</xdr:rowOff>
    </xdr:to>
    <xdr:sp macro="" textlink="">
      <xdr:nvSpPr>
        <xdr:cNvPr id="22" name="Rectangle: Rounded Corners 21">
          <a:extLst>
            <a:ext uri="{FF2B5EF4-FFF2-40B4-BE49-F238E27FC236}">
              <a16:creationId xmlns:a16="http://schemas.microsoft.com/office/drawing/2014/main" id="{10CD73C7-B5C2-4692-A5F7-6AB92CF9BF47}"/>
            </a:ext>
          </a:extLst>
        </xdr:cNvPr>
        <xdr:cNvSpPr/>
      </xdr:nvSpPr>
      <xdr:spPr>
        <a:xfrm>
          <a:off x="8448674" y="4010025"/>
          <a:ext cx="4257675" cy="2114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485775</xdr:colOff>
      <xdr:row>4</xdr:row>
      <xdr:rowOff>152399</xdr:rowOff>
    </xdr:from>
    <xdr:to>
      <xdr:col>19</xdr:col>
      <xdr:colOff>600075</xdr:colOff>
      <xdr:row>8</xdr:row>
      <xdr:rowOff>28574</xdr:rowOff>
    </xdr:to>
    <mc:AlternateContent xmlns:mc="http://schemas.openxmlformats.org/markup-compatibility/2006" xmlns:a14="http://schemas.microsoft.com/office/drawing/2010/main">
      <mc:Choice Requires="a14">
        <xdr:graphicFrame macro="">
          <xdr:nvGraphicFramePr>
            <xdr:cNvPr id="23" name="Salesman">
              <a:extLst>
                <a:ext uri="{FF2B5EF4-FFF2-40B4-BE49-F238E27FC236}">
                  <a16:creationId xmlns:a16="http://schemas.microsoft.com/office/drawing/2014/main" id="{1149F3FA-CAF5-49AA-945B-FB605FF8EF71}"/>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8410575" y="914399"/>
              <a:ext cx="37719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4</xdr:row>
      <xdr:rowOff>114299</xdr:rowOff>
    </xdr:from>
    <xdr:to>
      <xdr:col>12</xdr:col>
      <xdr:colOff>104775</xdr:colOff>
      <xdr:row>10</xdr:row>
      <xdr:rowOff>57148</xdr:rowOff>
    </xdr:to>
    <mc:AlternateContent xmlns:mc="http://schemas.openxmlformats.org/markup-compatibility/2006" xmlns:tsle="http://schemas.microsoft.com/office/drawing/2012/timeslicer">
      <mc:Choice Requires="tsle">
        <xdr:graphicFrame macro="">
          <xdr:nvGraphicFramePr>
            <xdr:cNvPr id="24" name="Date">
              <a:extLst>
                <a:ext uri="{FF2B5EF4-FFF2-40B4-BE49-F238E27FC236}">
                  <a16:creationId xmlns:a16="http://schemas.microsoft.com/office/drawing/2014/main" id="{DC35BC1E-0A9B-4D5D-92E3-47D63837144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76500" y="876299"/>
              <a:ext cx="4943475" cy="10858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371475</xdr:colOff>
      <xdr:row>8</xdr:row>
      <xdr:rowOff>76199</xdr:rowOff>
    </xdr:from>
    <xdr:to>
      <xdr:col>19</xdr:col>
      <xdr:colOff>323850</xdr:colOff>
      <xdr:row>11</xdr:row>
      <xdr:rowOff>123823</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F32BED86-3AC8-4237-AB38-36770BA1B9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5875" y="1600199"/>
              <a:ext cx="30003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21</xdr:row>
      <xdr:rowOff>161925</xdr:rowOff>
    </xdr:from>
    <xdr:to>
      <xdr:col>8</xdr:col>
      <xdr:colOff>476250</xdr:colOff>
      <xdr:row>30</xdr:row>
      <xdr:rowOff>85725</xdr:rowOff>
    </xdr:to>
    <xdr:graphicFrame macro="">
      <xdr:nvGraphicFramePr>
        <xdr:cNvPr id="26" name="Chart 25">
          <a:extLst>
            <a:ext uri="{FF2B5EF4-FFF2-40B4-BE49-F238E27FC236}">
              <a16:creationId xmlns:a16="http://schemas.microsoft.com/office/drawing/2014/main" id="{8FD34806-02B9-4D22-85FB-B82A43251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152401</xdr:colOff>
      <xdr:row>22</xdr:row>
      <xdr:rowOff>85725</xdr:rowOff>
    </xdr:from>
    <xdr:to>
      <xdr:col>20</xdr:col>
      <xdr:colOff>266701</xdr:colOff>
      <xdr:row>31</xdr:row>
      <xdr:rowOff>38100</xdr:rowOff>
    </xdr:to>
    <xdr:graphicFrame macro="">
      <xdr:nvGraphicFramePr>
        <xdr:cNvPr id="27" name="Chart 26">
          <a:extLst>
            <a:ext uri="{FF2B5EF4-FFF2-40B4-BE49-F238E27FC236}">
              <a16:creationId xmlns:a16="http://schemas.microsoft.com/office/drawing/2014/main" id="{E9DBAE02-80E8-4E58-BCD0-82CC578E3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295275</xdr:colOff>
      <xdr:row>7</xdr:row>
      <xdr:rowOff>28574</xdr:rowOff>
    </xdr:from>
    <xdr:to>
      <xdr:col>2</xdr:col>
      <xdr:colOff>219076</xdr:colOff>
      <xdr:row>9</xdr:row>
      <xdr:rowOff>123825</xdr:rowOff>
    </xdr:to>
    <xdr:sp macro="" textlink="'PIVOT TABLE'!R10">
      <xdr:nvSpPr>
        <xdr:cNvPr id="28" name="Flowchart: Alternate Process 27">
          <a:hlinkClick xmlns:r="http://schemas.openxmlformats.org/officeDocument/2006/relationships" r:id="rId1"/>
          <a:extLst>
            <a:ext uri="{FF2B5EF4-FFF2-40B4-BE49-F238E27FC236}">
              <a16:creationId xmlns:a16="http://schemas.microsoft.com/office/drawing/2014/main" id="{9EB7F54E-A4A2-404D-AB76-31BB315E869D}"/>
            </a:ext>
          </a:extLst>
        </xdr:cNvPr>
        <xdr:cNvSpPr/>
      </xdr:nvSpPr>
      <xdr:spPr>
        <a:xfrm>
          <a:off x="295275" y="1362074"/>
          <a:ext cx="1143001" cy="476251"/>
        </a:xfrm>
        <a:prstGeom prst="flowChartAlternateProcess">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DASHBOARD</a:t>
          </a:r>
        </a:p>
      </xdr:txBody>
    </xdr:sp>
    <xdr:clientData/>
  </xdr:twoCellAnchor>
  <xdr:twoCellAnchor>
    <xdr:from>
      <xdr:col>0</xdr:col>
      <xdr:colOff>276225</xdr:colOff>
      <xdr:row>14</xdr:row>
      <xdr:rowOff>95249</xdr:rowOff>
    </xdr:from>
    <xdr:to>
      <xdr:col>2</xdr:col>
      <xdr:colOff>200026</xdr:colOff>
      <xdr:row>17</xdr:row>
      <xdr:rowOff>0</xdr:rowOff>
    </xdr:to>
    <xdr:sp macro="" textlink="'PIVOT TABLE'!C9">
      <xdr:nvSpPr>
        <xdr:cNvPr id="29" name="Flowchart: Alternate Process 28">
          <a:extLst>
            <a:ext uri="{FF2B5EF4-FFF2-40B4-BE49-F238E27FC236}">
              <a16:creationId xmlns:a16="http://schemas.microsoft.com/office/drawing/2014/main" id="{8206BBDA-F5EE-4349-A4E0-AB11901BD14E}"/>
            </a:ext>
          </a:extLst>
        </xdr:cNvPr>
        <xdr:cNvSpPr/>
      </xdr:nvSpPr>
      <xdr:spPr>
        <a:xfrm>
          <a:off x="276225" y="276224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228600</xdr:colOff>
      <xdr:row>20</xdr:row>
      <xdr:rowOff>104774</xdr:rowOff>
    </xdr:from>
    <xdr:to>
      <xdr:col>2</xdr:col>
      <xdr:colOff>152401</xdr:colOff>
      <xdr:row>23</xdr:row>
      <xdr:rowOff>9525</xdr:rowOff>
    </xdr:to>
    <xdr:sp macro="" textlink="'PIVOT TABLE'!C9">
      <xdr:nvSpPr>
        <xdr:cNvPr id="30" name="Flowchart: Alternate Process 29">
          <a:extLst>
            <a:ext uri="{FF2B5EF4-FFF2-40B4-BE49-F238E27FC236}">
              <a16:creationId xmlns:a16="http://schemas.microsoft.com/office/drawing/2014/main" id="{20D3C95B-9793-4236-B3F7-3C31994296A4}"/>
            </a:ext>
          </a:extLst>
        </xdr:cNvPr>
        <xdr:cNvSpPr/>
      </xdr:nvSpPr>
      <xdr:spPr>
        <a:xfrm>
          <a:off x="228600" y="3914774"/>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twoCellAnchor>
    <xdr:from>
      <xdr:col>0</xdr:col>
      <xdr:colOff>200025</xdr:colOff>
      <xdr:row>27</xdr:row>
      <xdr:rowOff>114299</xdr:rowOff>
    </xdr:from>
    <xdr:to>
      <xdr:col>2</xdr:col>
      <xdr:colOff>123826</xdr:colOff>
      <xdr:row>30</xdr:row>
      <xdr:rowOff>19050</xdr:rowOff>
    </xdr:to>
    <xdr:sp macro="" textlink="'PIVOT TABLE'!R10">
      <xdr:nvSpPr>
        <xdr:cNvPr id="31" name="Flowchart: Alternate Process 30">
          <a:extLst>
            <a:ext uri="{FF2B5EF4-FFF2-40B4-BE49-F238E27FC236}">
              <a16:creationId xmlns:a16="http://schemas.microsoft.com/office/drawing/2014/main" id="{583CDA3C-CD5A-47D5-A578-E1FC7DEEF318}"/>
            </a:ext>
          </a:extLst>
        </xdr:cNvPr>
        <xdr:cNvSpPr/>
      </xdr:nvSpPr>
      <xdr:spPr>
        <a:xfrm>
          <a:off x="200025" y="5257799"/>
          <a:ext cx="1143001" cy="476251"/>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72.593095601849" createdVersion="6" refreshedVersion="6" minRefreshableVersion="3" recordCount="52" xr:uid="{6FC42FDA-FCA8-4FD2-B150-2ED36024925F}">
  <cacheSource type="worksheet">
    <worksheetSource ref="A1:H53" sheet="DATA"/>
  </cacheSource>
  <cacheFields count="9">
    <cacheField name="SNO." numFmtId="0">
      <sharedItems containsSemiMixedTypes="0" containsString="0" containsNumber="1" containsInteger="1" minValue="1" maxValue="52"/>
    </cacheField>
    <cacheField name="Date" numFmtId="14">
      <sharedItems containsSemiMixedTypes="0" containsNonDate="0" containsDate="1" containsString="0" minDate="2022-01-01T00:00:00" maxDate="2022-02-22T00:00:00" count="52">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sharedItems>
      <fieldGroup par="8" base="1">
        <rangePr groupBy="days" startDate="2022-01-01T00:00:00" endDate="2022-02-22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2/2022"/>
        </groupItems>
      </fieldGroup>
    </cacheField>
    <cacheField name="Salesman" numFmtId="0">
      <sharedItems count="4">
        <s v="Yasir"/>
        <s v="Samir"/>
        <s v="Mubashir"/>
        <s v="Jamil"/>
      </sharedItems>
    </cacheField>
    <cacheField name="Region" numFmtId="0">
      <sharedItems count="3">
        <s v="Bono-East"/>
        <s v="Ashanti"/>
        <s v="Savanna"/>
      </sharedItems>
    </cacheField>
    <cacheField name="Item" numFmtId="0">
      <sharedItems count="6">
        <s v="Rice"/>
        <s v="Oil"/>
        <s v="Gari"/>
        <s v="Tomatos"/>
        <s v="Chocolate"/>
        <s v="Green Tea"/>
      </sharedItems>
    </cacheField>
    <cacheField name="Qty" numFmtId="0">
      <sharedItems containsSemiMixedTypes="0" containsString="0" containsNumber="1" containsInteger="1" minValue="6" maxValue="70"/>
    </cacheField>
    <cacheField name="Price" numFmtId="0">
      <sharedItems containsSemiMixedTypes="0" containsString="0" containsNumber="1" containsInteger="1" minValue="12" maxValue="505"/>
    </cacheField>
    <cacheField name="Amount" numFmtId="0">
      <sharedItems containsSemiMixedTypes="0" containsString="0" containsNumber="1" containsInteger="1" minValue="72" maxValue="30300"/>
    </cacheField>
    <cacheField name="Months" numFmtId="0" databaseField="0">
      <fieldGroup base="1">
        <rangePr groupBy="months" startDate="2022-01-01T00:00:00" endDate="2022-02-22T00:00:00"/>
        <groupItems count="14">
          <s v="&lt;1/1/2022"/>
          <s v="Jan"/>
          <s v="Feb"/>
          <s v="Mar"/>
          <s v="Apr"/>
          <s v="May"/>
          <s v="Jun"/>
          <s v="Jul"/>
          <s v="Aug"/>
          <s v="Sep"/>
          <s v="Oct"/>
          <s v="Nov"/>
          <s v="Dec"/>
          <s v="&gt;2/22/2022"/>
        </groupItems>
      </fieldGroup>
    </cacheField>
  </cacheFields>
  <extLst>
    <ext xmlns:x14="http://schemas.microsoft.com/office/spreadsheetml/2009/9/main" uri="{725AE2AE-9491-48be-B2B4-4EB974FC3084}">
      <x14:pivotCacheDefinition pivotCacheId="1944805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n v="1"/>
    <x v="0"/>
    <x v="0"/>
    <x v="0"/>
    <x v="0"/>
    <n v="12"/>
    <n v="150"/>
    <n v="1800"/>
  </r>
  <r>
    <n v="2"/>
    <x v="1"/>
    <x v="1"/>
    <x v="1"/>
    <x v="1"/>
    <n v="34"/>
    <n v="505"/>
    <n v="17170"/>
  </r>
  <r>
    <n v="3"/>
    <x v="2"/>
    <x v="2"/>
    <x v="2"/>
    <x v="2"/>
    <n v="13"/>
    <n v="32"/>
    <n v="416"/>
  </r>
  <r>
    <n v="4"/>
    <x v="3"/>
    <x v="3"/>
    <x v="0"/>
    <x v="3"/>
    <n v="7"/>
    <n v="65"/>
    <n v="455"/>
  </r>
  <r>
    <n v="5"/>
    <x v="4"/>
    <x v="1"/>
    <x v="1"/>
    <x v="4"/>
    <n v="43"/>
    <n v="25"/>
    <n v="1075"/>
  </r>
  <r>
    <n v="6"/>
    <x v="5"/>
    <x v="2"/>
    <x v="1"/>
    <x v="5"/>
    <n v="6"/>
    <n v="12"/>
    <n v="72"/>
  </r>
  <r>
    <n v="7"/>
    <x v="6"/>
    <x v="3"/>
    <x v="2"/>
    <x v="0"/>
    <n v="23"/>
    <n v="150"/>
    <n v="3450"/>
  </r>
  <r>
    <n v="8"/>
    <x v="7"/>
    <x v="0"/>
    <x v="2"/>
    <x v="2"/>
    <n v="65"/>
    <n v="32"/>
    <n v="2080"/>
  </r>
  <r>
    <n v="9"/>
    <x v="8"/>
    <x v="0"/>
    <x v="1"/>
    <x v="1"/>
    <n v="11"/>
    <n v="505"/>
    <n v="5555"/>
  </r>
  <r>
    <n v="10"/>
    <x v="9"/>
    <x v="2"/>
    <x v="1"/>
    <x v="3"/>
    <n v="62"/>
    <n v="65"/>
    <n v="4030"/>
  </r>
  <r>
    <n v="11"/>
    <x v="10"/>
    <x v="3"/>
    <x v="1"/>
    <x v="5"/>
    <n v="70"/>
    <n v="12"/>
    <n v="840"/>
  </r>
  <r>
    <n v="12"/>
    <x v="11"/>
    <x v="1"/>
    <x v="0"/>
    <x v="4"/>
    <n v="33"/>
    <n v="25"/>
    <n v="825"/>
  </r>
  <r>
    <n v="13"/>
    <x v="12"/>
    <x v="1"/>
    <x v="0"/>
    <x v="4"/>
    <n v="34"/>
    <n v="25"/>
    <n v="850"/>
  </r>
  <r>
    <n v="14"/>
    <x v="13"/>
    <x v="0"/>
    <x v="0"/>
    <x v="0"/>
    <n v="12"/>
    <n v="150"/>
    <n v="1800"/>
  </r>
  <r>
    <n v="15"/>
    <x v="14"/>
    <x v="1"/>
    <x v="1"/>
    <x v="1"/>
    <n v="34"/>
    <n v="505"/>
    <n v="17170"/>
  </r>
  <r>
    <n v="16"/>
    <x v="15"/>
    <x v="2"/>
    <x v="2"/>
    <x v="2"/>
    <n v="13"/>
    <n v="32"/>
    <n v="416"/>
  </r>
  <r>
    <n v="17"/>
    <x v="16"/>
    <x v="3"/>
    <x v="0"/>
    <x v="3"/>
    <n v="7"/>
    <n v="65"/>
    <n v="455"/>
  </r>
  <r>
    <n v="18"/>
    <x v="17"/>
    <x v="1"/>
    <x v="1"/>
    <x v="4"/>
    <n v="43"/>
    <n v="25"/>
    <n v="1075"/>
  </r>
  <r>
    <n v="19"/>
    <x v="18"/>
    <x v="2"/>
    <x v="1"/>
    <x v="5"/>
    <n v="6"/>
    <n v="12"/>
    <n v="72"/>
  </r>
  <r>
    <n v="20"/>
    <x v="19"/>
    <x v="3"/>
    <x v="2"/>
    <x v="0"/>
    <n v="23"/>
    <n v="150"/>
    <n v="3450"/>
  </r>
  <r>
    <n v="21"/>
    <x v="20"/>
    <x v="0"/>
    <x v="2"/>
    <x v="2"/>
    <n v="65"/>
    <n v="32"/>
    <n v="2080"/>
  </r>
  <r>
    <n v="22"/>
    <x v="21"/>
    <x v="0"/>
    <x v="1"/>
    <x v="1"/>
    <n v="11"/>
    <n v="505"/>
    <n v="5555"/>
  </r>
  <r>
    <n v="23"/>
    <x v="22"/>
    <x v="2"/>
    <x v="1"/>
    <x v="3"/>
    <n v="62"/>
    <n v="65"/>
    <n v="4030"/>
  </r>
  <r>
    <n v="24"/>
    <x v="23"/>
    <x v="3"/>
    <x v="1"/>
    <x v="5"/>
    <n v="70"/>
    <n v="12"/>
    <n v="840"/>
  </r>
  <r>
    <n v="25"/>
    <x v="24"/>
    <x v="1"/>
    <x v="0"/>
    <x v="4"/>
    <n v="33"/>
    <n v="25"/>
    <n v="825"/>
  </r>
  <r>
    <n v="26"/>
    <x v="25"/>
    <x v="3"/>
    <x v="0"/>
    <x v="4"/>
    <n v="23"/>
    <n v="25"/>
    <n v="575"/>
  </r>
  <r>
    <n v="27"/>
    <x v="26"/>
    <x v="0"/>
    <x v="0"/>
    <x v="0"/>
    <n v="12"/>
    <n v="150"/>
    <n v="1800"/>
  </r>
  <r>
    <n v="28"/>
    <x v="27"/>
    <x v="1"/>
    <x v="1"/>
    <x v="1"/>
    <n v="34"/>
    <n v="505"/>
    <n v="17170"/>
  </r>
  <r>
    <n v="29"/>
    <x v="28"/>
    <x v="2"/>
    <x v="2"/>
    <x v="2"/>
    <n v="13"/>
    <n v="32"/>
    <n v="416"/>
  </r>
  <r>
    <n v="30"/>
    <x v="29"/>
    <x v="3"/>
    <x v="0"/>
    <x v="3"/>
    <n v="7"/>
    <n v="65"/>
    <n v="455"/>
  </r>
  <r>
    <n v="31"/>
    <x v="30"/>
    <x v="1"/>
    <x v="1"/>
    <x v="4"/>
    <n v="43"/>
    <n v="25"/>
    <n v="1075"/>
  </r>
  <r>
    <n v="32"/>
    <x v="31"/>
    <x v="2"/>
    <x v="1"/>
    <x v="5"/>
    <n v="6"/>
    <n v="12"/>
    <n v="72"/>
  </r>
  <r>
    <n v="33"/>
    <x v="32"/>
    <x v="3"/>
    <x v="2"/>
    <x v="0"/>
    <n v="23"/>
    <n v="150"/>
    <n v="3450"/>
  </r>
  <r>
    <n v="34"/>
    <x v="33"/>
    <x v="0"/>
    <x v="2"/>
    <x v="2"/>
    <n v="65"/>
    <n v="32"/>
    <n v="2080"/>
  </r>
  <r>
    <n v="35"/>
    <x v="34"/>
    <x v="0"/>
    <x v="1"/>
    <x v="1"/>
    <n v="11"/>
    <n v="505"/>
    <n v="5555"/>
  </r>
  <r>
    <n v="36"/>
    <x v="35"/>
    <x v="2"/>
    <x v="1"/>
    <x v="3"/>
    <n v="62"/>
    <n v="65"/>
    <n v="4030"/>
  </r>
  <r>
    <n v="37"/>
    <x v="36"/>
    <x v="3"/>
    <x v="1"/>
    <x v="5"/>
    <n v="70"/>
    <n v="12"/>
    <n v="840"/>
  </r>
  <r>
    <n v="38"/>
    <x v="37"/>
    <x v="1"/>
    <x v="0"/>
    <x v="4"/>
    <n v="33"/>
    <n v="25"/>
    <n v="825"/>
  </r>
  <r>
    <n v="39"/>
    <x v="38"/>
    <x v="1"/>
    <x v="0"/>
    <x v="4"/>
    <n v="34"/>
    <n v="25"/>
    <n v="850"/>
  </r>
  <r>
    <n v="40"/>
    <x v="39"/>
    <x v="0"/>
    <x v="0"/>
    <x v="0"/>
    <n v="12"/>
    <n v="150"/>
    <n v="1800"/>
  </r>
  <r>
    <n v="41"/>
    <x v="40"/>
    <x v="1"/>
    <x v="1"/>
    <x v="1"/>
    <n v="34"/>
    <n v="505"/>
    <n v="17170"/>
  </r>
  <r>
    <n v="42"/>
    <x v="41"/>
    <x v="2"/>
    <x v="2"/>
    <x v="2"/>
    <n v="13"/>
    <n v="32"/>
    <n v="416"/>
  </r>
  <r>
    <n v="43"/>
    <x v="42"/>
    <x v="3"/>
    <x v="0"/>
    <x v="3"/>
    <n v="7"/>
    <n v="65"/>
    <n v="455"/>
  </r>
  <r>
    <n v="44"/>
    <x v="43"/>
    <x v="1"/>
    <x v="1"/>
    <x v="4"/>
    <n v="43"/>
    <n v="25"/>
    <n v="1075"/>
  </r>
  <r>
    <n v="45"/>
    <x v="44"/>
    <x v="2"/>
    <x v="1"/>
    <x v="5"/>
    <n v="6"/>
    <n v="12"/>
    <n v="72"/>
  </r>
  <r>
    <n v="46"/>
    <x v="45"/>
    <x v="3"/>
    <x v="2"/>
    <x v="0"/>
    <n v="23"/>
    <n v="150"/>
    <n v="3450"/>
  </r>
  <r>
    <n v="47"/>
    <x v="46"/>
    <x v="0"/>
    <x v="2"/>
    <x v="2"/>
    <n v="65"/>
    <n v="32"/>
    <n v="2080"/>
  </r>
  <r>
    <n v="48"/>
    <x v="47"/>
    <x v="0"/>
    <x v="1"/>
    <x v="1"/>
    <n v="11"/>
    <n v="505"/>
    <n v="5555"/>
  </r>
  <r>
    <n v="49"/>
    <x v="48"/>
    <x v="2"/>
    <x v="1"/>
    <x v="3"/>
    <n v="62"/>
    <n v="65"/>
    <n v="4030"/>
  </r>
  <r>
    <n v="50"/>
    <x v="49"/>
    <x v="3"/>
    <x v="1"/>
    <x v="5"/>
    <n v="70"/>
    <n v="12"/>
    <n v="840"/>
  </r>
  <r>
    <n v="51"/>
    <x v="50"/>
    <x v="1"/>
    <x v="0"/>
    <x v="4"/>
    <n v="33"/>
    <n v="25"/>
    <n v="825"/>
  </r>
  <r>
    <n v="52"/>
    <x v="51"/>
    <x v="0"/>
    <x v="1"/>
    <x v="1"/>
    <n v="60"/>
    <n v="505"/>
    <n v="30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15573-C50E-4474-95EF-B020F3F2FE93}"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Chocolate">
  <location ref="A2:B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4">
        <item x="1"/>
        <item x="0"/>
        <item x="2"/>
        <item t="default"/>
      </items>
    </pivotField>
    <pivotField axis="axisRow" showAll="0">
      <items count="7">
        <item x="4"/>
        <item x="2"/>
        <item x="5"/>
        <item x="1"/>
        <item x="0"/>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BF334-42A0-472A-8535-4E1C5399D0B3}" name="PivotTable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6" rowHeaderCaption="Chocolate">
  <location ref="N2:O6"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axis="axisRow" showAll="0">
      <items count="4">
        <item x="1"/>
        <item x="0"/>
        <item x="2"/>
        <item t="default"/>
      </items>
    </pivotField>
    <pivotField showAll="0">
      <items count="7">
        <item x="4"/>
        <item x="2"/>
        <item x="5"/>
        <item x="1"/>
        <item x="0"/>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Price" fld="6" baseField="0" baseItem="0"/>
  </dataFields>
  <chartFormats count="10">
    <chartFormat chart="63" format="0" series="1">
      <pivotArea type="data" outline="0" fieldPosition="0">
        <references count="1">
          <reference field="4294967294" count="1" selected="0">
            <x v="0"/>
          </reference>
        </references>
      </pivotArea>
    </chartFormat>
    <chartFormat chart="63" format="1">
      <pivotArea type="data" outline="0" fieldPosition="0">
        <references count="2">
          <reference field="4294967294" count="1" selected="0">
            <x v="0"/>
          </reference>
          <reference field="3" count="1" selected="0">
            <x v="1"/>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3" count="1" selected="0">
            <x v="0"/>
          </reference>
        </references>
      </pivotArea>
    </chartFormat>
    <chartFormat chart="64" format="4">
      <pivotArea type="data" outline="0" fieldPosition="0">
        <references count="2">
          <reference field="4294967294" count="1" selected="0">
            <x v="0"/>
          </reference>
          <reference field="3" count="1" selected="0">
            <x v="1"/>
          </reference>
        </references>
      </pivotArea>
    </chartFormat>
    <chartFormat chart="64" format="5">
      <pivotArea type="data" outline="0" fieldPosition="0">
        <references count="2">
          <reference field="4294967294" count="1" selected="0">
            <x v="0"/>
          </reference>
          <reference field="3" count="1" selected="0">
            <x v="2"/>
          </reference>
        </references>
      </pivotArea>
    </chartFormat>
    <chartFormat chart="65" format="6" series="1">
      <pivotArea type="data" outline="0" fieldPosition="0">
        <references count="1">
          <reference field="4294967294" count="1" selected="0">
            <x v="0"/>
          </reference>
        </references>
      </pivotArea>
    </chartFormat>
    <chartFormat chart="65" format="7">
      <pivotArea type="data" outline="0" fieldPosition="0">
        <references count="2">
          <reference field="4294967294" count="1" selected="0">
            <x v="0"/>
          </reference>
          <reference field="3" count="1" selected="0">
            <x v="0"/>
          </reference>
        </references>
      </pivotArea>
    </chartFormat>
    <chartFormat chart="65" format="8">
      <pivotArea type="data" outline="0" fieldPosition="0">
        <references count="2">
          <reference field="4294967294" count="1" selected="0">
            <x v="0"/>
          </reference>
          <reference field="3" count="1" selected="0">
            <x v="1"/>
          </reference>
        </references>
      </pivotArea>
    </chartFormat>
    <chartFormat chart="65"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4945A-918E-4B08-B44E-2A0E7BC35A8B}"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0" rowHeaderCaption="Chocolate">
  <location ref="K2:L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4">
        <item x="1"/>
        <item x="0"/>
        <item x="2"/>
        <item t="default"/>
      </items>
    </pivotField>
    <pivotField axis="axisRow" showAll="0">
      <items count="7">
        <item x="4"/>
        <item x="2"/>
        <item x="5"/>
        <item x="1"/>
        <item x="0"/>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6">
    <chartFormat chart="30" format="2" series="1">
      <pivotArea type="data" outline="0" fieldPosition="0">
        <references count="1">
          <reference field="4294967294" count="1" selected="0">
            <x v="0"/>
          </reference>
        </references>
      </pivotArea>
    </chartFormat>
    <chartFormat chart="35" format="8" series="1">
      <pivotArea type="data" outline="0" fieldPosition="0">
        <references count="1">
          <reference field="4294967294" count="1" selected="0">
            <x v="0"/>
          </reference>
        </references>
      </pivotArea>
    </chartFormat>
    <chartFormat chart="35" format="9">
      <pivotArea type="data" outline="0" fieldPosition="0">
        <references count="2">
          <reference field="4294967294" count="1" selected="0">
            <x v="0"/>
          </reference>
          <reference field="4" count="1" selected="0">
            <x v="0"/>
          </reference>
        </references>
      </pivotArea>
    </chartFormat>
    <chartFormat chart="35" format="10">
      <pivotArea type="data" outline="0" fieldPosition="0">
        <references count="2">
          <reference field="4294967294" count="1" selected="0">
            <x v="0"/>
          </reference>
          <reference field="4" count="1" selected="0">
            <x v="1"/>
          </reference>
        </references>
      </pivotArea>
    </chartFormat>
    <chartFormat chart="35" format="11">
      <pivotArea type="data" outline="0" fieldPosition="0">
        <references count="2">
          <reference field="4294967294" count="1" selected="0">
            <x v="0"/>
          </reference>
          <reference field="4" count="1" selected="0">
            <x v="2"/>
          </reference>
        </references>
      </pivotArea>
    </chartFormat>
    <chartFormat chart="35" format="12">
      <pivotArea type="data" outline="0" fieldPosition="0">
        <references count="2">
          <reference field="4294967294" count="1" selected="0">
            <x v="0"/>
          </reference>
          <reference field="4" count="1" selected="0">
            <x v="3"/>
          </reference>
        </references>
      </pivotArea>
    </chartFormat>
    <chartFormat chart="35" format="13">
      <pivotArea type="data" outline="0" fieldPosition="0">
        <references count="2">
          <reference field="4294967294" count="1" selected="0">
            <x v="0"/>
          </reference>
          <reference field="4" count="1" selected="0">
            <x v="4"/>
          </reference>
        </references>
      </pivotArea>
    </chartFormat>
    <chartFormat chart="35" format="14">
      <pivotArea type="data" outline="0" fieldPosition="0">
        <references count="2">
          <reference field="4294967294" count="1" selected="0">
            <x v="0"/>
          </reference>
          <reference field="4" count="1" selected="0">
            <x v="5"/>
          </reference>
        </references>
      </pivotArea>
    </chartFormat>
    <chartFormat chart="38" format="4" series="1">
      <pivotArea type="data" outline="0" fieldPosition="0">
        <references count="1">
          <reference field="4294967294" count="1" selected="0">
            <x v="0"/>
          </reference>
        </references>
      </pivotArea>
    </chartFormat>
    <chartFormat chart="39" format="22" series="1">
      <pivotArea type="data" outline="0" fieldPosition="0">
        <references count="1">
          <reference field="4294967294" count="1" selected="0">
            <x v="0"/>
          </reference>
        </references>
      </pivotArea>
    </chartFormat>
    <chartFormat chart="39" format="23">
      <pivotArea type="data" outline="0" fieldPosition="0">
        <references count="2">
          <reference field="4294967294" count="1" selected="0">
            <x v="0"/>
          </reference>
          <reference field="4" count="1" selected="0">
            <x v="0"/>
          </reference>
        </references>
      </pivotArea>
    </chartFormat>
    <chartFormat chart="39" format="24">
      <pivotArea type="data" outline="0" fieldPosition="0">
        <references count="2">
          <reference field="4294967294" count="1" selected="0">
            <x v="0"/>
          </reference>
          <reference field="4" count="1" selected="0">
            <x v="1"/>
          </reference>
        </references>
      </pivotArea>
    </chartFormat>
    <chartFormat chart="39" format="25">
      <pivotArea type="data" outline="0" fieldPosition="0">
        <references count="2">
          <reference field="4294967294" count="1" selected="0">
            <x v="0"/>
          </reference>
          <reference field="4" count="1" selected="0">
            <x v="2"/>
          </reference>
        </references>
      </pivotArea>
    </chartFormat>
    <chartFormat chart="39" format="26">
      <pivotArea type="data" outline="0" fieldPosition="0">
        <references count="2">
          <reference field="4294967294" count="1" selected="0">
            <x v="0"/>
          </reference>
          <reference field="4" count="1" selected="0">
            <x v="3"/>
          </reference>
        </references>
      </pivotArea>
    </chartFormat>
    <chartFormat chart="39" format="27">
      <pivotArea type="data" outline="0" fieldPosition="0">
        <references count="2">
          <reference field="4294967294" count="1" selected="0">
            <x v="0"/>
          </reference>
          <reference field="4" count="1" selected="0">
            <x v="4"/>
          </reference>
        </references>
      </pivotArea>
    </chartFormat>
    <chartFormat chart="39" format="2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664288-E5E0-4F6B-ABE1-F6D22954BB2B}" name="PivotTable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1" rowHeaderCaption="Chocolate">
  <location ref="K12:L16"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axis="axisRow" showAll="0">
      <items count="4">
        <item x="1"/>
        <item x="0"/>
        <item x="2"/>
        <item t="default"/>
      </items>
    </pivotField>
    <pivotField showAll="0">
      <items count="7">
        <item x="4"/>
        <item x="2"/>
        <item x="5"/>
        <item x="1"/>
        <item x="0"/>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Amount" fld="7" baseField="0" baseItem="0"/>
  </dataFields>
  <chartFormats count="8">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9" format="2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5F91D4-5B8B-43F5-8E0E-3804C608B6F7}"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rowHeaderCaption="Chocolate">
  <location ref="E12:F1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4">
        <item x="1"/>
        <item x="0"/>
        <item x="2"/>
        <item t="default"/>
      </items>
    </pivotField>
    <pivotField axis="axisRow" showAll="0">
      <items count="7">
        <item x="4"/>
        <item x="2"/>
        <item x="5"/>
        <item x="1"/>
        <item x="0"/>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Price" fld="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A198D8-4795-4466-8E82-C4A88EFFF163}"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2:B1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4">
        <item x="1"/>
        <item x="0"/>
        <item x="2"/>
        <item t="default"/>
      </items>
    </pivotField>
    <pivotField axis="axisRow" showAll="0">
      <items count="7">
        <item x="4"/>
        <item x="2"/>
        <item x="5"/>
        <item x="1"/>
        <item x="0"/>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C4EC86-D9D8-4C8D-A6E1-6642772383FE}"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1" rowHeaderCaption="Chocolate">
  <location ref="H2:I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3"/>
        <item x="2"/>
        <item x="1"/>
        <item x="0"/>
        <item t="default"/>
      </items>
    </pivotField>
    <pivotField showAll="0">
      <items count="4">
        <item x="1"/>
        <item x="0"/>
        <item x="2"/>
        <item t="default"/>
      </items>
    </pivotField>
    <pivotField showAll="0">
      <items count="7">
        <item x="4"/>
        <item x="2"/>
        <item x="5"/>
        <item x="1"/>
        <item x="0"/>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Amount" fld="7"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51CAC8-C569-4026-98A2-4EAC50911E5B}"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rowHeaderCaption="Chocolate">
  <location ref="E2:F9"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4">
        <item x="1"/>
        <item x="0"/>
        <item x="2"/>
        <item t="default"/>
      </items>
    </pivotField>
    <pivotField axis="axisRow" showAll="0">
      <items count="7">
        <item x="4"/>
        <item x="2"/>
        <item x="5"/>
        <item x="1"/>
        <item x="0"/>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A053A1-4ADD-4C44-8D37-83E3E381B4BD}"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7" rowHeaderCaption="Chocolate">
  <location ref="H12:I1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3"/>
        <item x="2"/>
        <item x="1"/>
        <item x="0"/>
        <item t="default"/>
      </items>
    </pivotField>
    <pivotField showAll="0">
      <items count="4">
        <item x="1"/>
        <item x="0"/>
        <item x="2"/>
        <item t="default"/>
      </items>
    </pivotField>
    <pivotField showAll="0">
      <items count="7">
        <item x="4"/>
        <item x="2"/>
        <item x="5"/>
        <item x="1"/>
        <item x="0"/>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Price" fld="6" baseField="0" baseItem="0"/>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 xr16:uid="{8138DB50-D5B8-46E0-8F6A-6694409C6812}" autoFormatId="16" applyNumberFormats="0" applyBorderFormats="0" applyFontFormats="0" applyPatternFormats="0" applyAlignmentFormats="0" applyWidthHeightFormats="0">
  <queryTableRefresh>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D992FEFB-66B0-4CED-88FD-CF47A3B201ED}" sourceName="Salesma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44805980">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842815-8BC4-4060-9ABF-2965D7D4E872}"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94480598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3" xr10:uid="{74075F7D-82C3-46DC-B924-1EB0C616353F}" cache="Slicer_Salesman" caption="Salesman" columnCount="4" style="SlicerStyleDark4" rowHeight="241300"/>
  <slicer name="Region 3" xr10:uid="{6228B443-CE65-47A6-8851-F7E8D8CCC931}" cache="Slicer_Region" caption="Region" columnCount="3"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2" xr10:uid="{2862C529-538B-400B-AAB0-68FB37A06D2F}" cache="Slicer_Salesman" caption="Salesman" columnCount="4" style="SlicerStyleDark4" rowHeight="241300"/>
  <slicer name="Region 2" xr10:uid="{B45FD7EB-C458-4E7F-AB6C-B160D4ED5A0A}" cache="Slicer_Region" caption="Region" columnCount="3"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1" xr10:uid="{F4BE871C-7E41-49A8-AE30-95B9EE944ACE}" cache="Slicer_Salesman" caption="Salesman" columnCount="4" style="SlicerStyleDark4" rowHeight="241300"/>
  <slicer name="Region 1" xr10:uid="{2141C15B-232C-4F9C-80F5-44DA9B02BF8E}" cache="Slicer_Region" caption="Region" columnCount="3"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1733A2AE-AB5D-49DA-A39C-5F82CE5CDD4B}" cache="Slicer_Salesman" caption="Salesman" columnCount="4" style="SlicerStyleDark4" rowHeight="241300"/>
  <slicer name="Region" xr10:uid="{649AC94D-3336-4079-94F2-E53B1D05AF83}" cache="Slicer_Region" caption="Region" columnCount="3"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DC62821-F8FB-461D-A1E1-12300096AFE5}"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1944805980"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A3A0EF6-E967-4246-B70B-CAEDC9F4E8B3}" cache="NativeTimeline_Date" caption="Date" level="2" selectionLevel="2" scrollPosition="2022-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BB50D74-9830-40DB-BF75-940E26844758}" cache="NativeTimeline_Date" caption="Date" level="2" selectionLevel="2" scrollPosition="2022-01-01T00:00:00" style="TimeSlicerStyleDark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E283864-5352-43A7-88B3-BBFC102C87C4}" cache="NativeTimeline_Date" caption="Date" level="2" selectionLevel="2" scrollPosition="2022-01-01T00:00:00" style="TimeSlicerStyleDark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966C6F2-090C-4A1F-ADFC-D84A8F547CFC}" cache="NativeTimeline_Date" caption="Date" level="2" selectionLevel="2" scrollPosition="2022-01-01T00:00:00" style="TimeSlicerStyleDark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613B-CF63-41F7-89CC-DBE7DFCBF9C9}">
  <dimension ref="H1:O3"/>
  <sheetViews>
    <sheetView topLeftCell="A10" workbookViewId="0">
      <selection activeCell="I35" sqref="I35"/>
    </sheetView>
  </sheetViews>
  <sheetFormatPr defaultRowHeight="15" x14ac:dyDescent="0.25"/>
  <sheetData>
    <row r="1" spans="8:15" x14ac:dyDescent="0.25">
      <c r="H1" s="6" t="s">
        <v>0</v>
      </c>
      <c r="I1" s="7"/>
      <c r="J1" s="7"/>
      <c r="K1" s="7"/>
      <c r="L1" s="7"/>
      <c r="M1" s="7"/>
      <c r="N1" s="7"/>
      <c r="O1" s="7"/>
    </row>
    <row r="2" spans="8:15" x14ac:dyDescent="0.25">
      <c r="H2" s="7"/>
      <c r="I2" s="7"/>
      <c r="J2" s="7"/>
      <c r="K2" s="7"/>
      <c r="L2" s="7"/>
      <c r="M2" s="7"/>
      <c r="N2" s="7"/>
      <c r="O2" s="7"/>
    </row>
    <row r="3" spans="8:15" x14ac:dyDescent="0.25">
      <c r="H3" s="7"/>
      <c r="I3" s="7"/>
      <c r="J3" s="7"/>
      <c r="K3" s="7"/>
      <c r="L3" s="7"/>
      <c r="M3" s="7"/>
      <c r="N3" s="7"/>
      <c r="O3" s="7"/>
    </row>
  </sheetData>
  <mergeCells count="1">
    <mergeCell ref="H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B58A-4304-4373-B8C6-BD5D05991DCD}">
  <dimension ref="H1:O3"/>
  <sheetViews>
    <sheetView topLeftCell="A16" workbookViewId="0">
      <selection activeCell="V9" sqref="V9"/>
    </sheetView>
  </sheetViews>
  <sheetFormatPr defaultRowHeight="15" x14ac:dyDescent="0.25"/>
  <sheetData>
    <row r="1" spans="8:15" x14ac:dyDescent="0.25">
      <c r="H1" s="6" t="s">
        <v>0</v>
      </c>
      <c r="I1" s="7"/>
      <c r="J1" s="7"/>
      <c r="K1" s="7"/>
      <c r="L1" s="7"/>
      <c r="M1" s="7"/>
      <c r="N1" s="7"/>
      <c r="O1" s="7"/>
    </row>
    <row r="2" spans="8:15" x14ac:dyDescent="0.25">
      <c r="H2" s="7"/>
      <c r="I2" s="7"/>
      <c r="J2" s="7"/>
      <c r="K2" s="7"/>
      <c r="L2" s="7"/>
      <c r="M2" s="7"/>
      <c r="N2" s="7"/>
      <c r="O2" s="7"/>
    </row>
    <row r="3" spans="8:15" x14ac:dyDescent="0.25">
      <c r="H3" s="7"/>
      <c r="I3" s="7"/>
      <c r="J3" s="7"/>
      <c r="K3" s="7"/>
      <c r="L3" s="7"/>
      <c r="M3" s="7"/>
      <c r="N3" s="7"/>
      <c r="O3" s="7"/>
    </row>
  </sheetData>
  <mergeCells count="1">
    <mergeCell ref="H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88D0-F278-483E-97AA-6113B468A69F}">
  <dimension ref="H1:O3"/>
  <sheetViews>
    <sheetView tabSelected="1" workbookViewId="0">
      <selection activeCell="G36" sqref="G36"/>
    </sheetView>
  </sheetViews>
  <sheetFormatPr defaultRowHeight="15" x14ac:dyDescent="0.25"/>
  <sheetData>
    <row r="1" spans="8:15" x14ac:dyDescent="0.25">
      <c r="H1" s="6" t="s">
        <v>0</v>
      </c>
      <c r="I1" s="7"/>
      <c r="J1" s="7"/>
      <c r="K1" s="7"/>
      <c r="L1" s="7"/>
      <c r="M1" s="7"/>
      <c r="N1" s="7"/>
      <c r="O1" s="7"/>
    </row>
    <row r="2" spans="8:15" x14ac:dyDescent="0.25">
      <c r="H2" s="7"/>
      <c r="I2" s="7"/>
      <c r="J2" s="7"/>
      <c r="K2" s="7"/>
      <c r="L2" s="7"/>
      <c r="M2" s="7"/>
      <c r="N2" s="7"/>
      <c r="O2" s="7"/>
    </row>
    <row r="3" spans="8:15" x14ac:dyDescent="0.25">
      <c r="H3" s="7"/>
      <c r="I3" s="7"/>
      <c r="J3" s="7"/>
      <c r="K3" s="7"/>
      <c r="L3" s="7"/>
      <c r="M3" s="7"/>
      <c r="N3" s="7"/>
      <c r="O3" s="7"/>
    </row>
  </sheetData>
  <mergeCells count="1">
    <mergeCell ref="H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E1A4-CA2D-422D-AF09-4936F6A74901}">
  <dimension ref="H1:O3"/>
  <sheetViews>
    <sheetView workbookViewId="0"/>
  </sheetViews>
  <sheetFormatPr defaultRowHeight="15" x14ac:dyDescent="0.25"/>
  <sheetData>
    <row r="1" spans="8:15" x14ac:dyDescent="0.25">
      <c r="H1" s="6" t="s">
        <v>0</v>
      </c>
      <c r="I1" s="7"/>
      <c r="J1" s="7"/>
      <c r="K1" s="7"/>
      <c r="L1" s="7"/>
      <c r="M1" s="7"/>
      <c r="N1" s="7"/>
      <c r="O1" s="7"/>
    </row>
    <row r="2" spans="8:15" x14ac:dyDescent="0.25">
      <c r="H2" s="7"/>
      <c r="I2" s="7"/>
      <c r="J2" s="7"/>
      <c r="K2" s="7"/>
      <c r="L2" s="7"/>
      <c r="M2" s="7"/>
      <c r="N2" s="7"/>
      <c r="O2" s="7"/>
    </row>
    <row r="3" spans="8:15" x14ac:dyDescent="0.25">
      <c r="H3" s="7"/>
      <c r="I3" s="7"/>
      <c r="J3" s="7"/>
      <c r="K3" s="7"/>
      <c r="L3" s="7"/>
      <c r="M3" s="7"/>
      <c r="N3" s="7"/>
      <c r="O3" s="7"/>
    </row>
  </sheetData>
  <mergeCells count="1">
    <mergeCell ref="H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7C43-B2BB-4882-B301-62D48D660DF3}">
  <dimension ref="A1:H53"/>
  <sheetViews>
    <sheetView topLeftCell="A32" workbookViewId="0">
      <selection sqref="A1:H53"/>
    </sheetView>
  </sheetViews>
  <sheetFormatPr defaultRowHeight="15" x14ac:dyDescent="0.25"/>
  <sheetData>
    <row r="1" spans="1:8" x14ac:dyDescent="0.25">
      <c r="A1" s="1" t="s">
        <v>1</v>
      </c>
      <c r="B1" s="1" t="s">
        <v>2</v>
      </c>
      <c r="C1" s="1" t="s">
        <v>3</v>
      </c>
      <c r="D1" s="1" t="s">
        <v>4</v>
      </c>
      <c r="E1" s="1" t="s">
        <v>5</v>
      </c>
      <c r="F1" s="1" t="s">
        <v>6</v>
      </c>
      <c r="G1" s="1" t="s">
        <v>7</v>
      </c>
      <c r="H1" s="1" t="s">
        <v>8</v>
      </c>
    </row>
    <row r="2" spans="1:8" x14ac:dyDescent="0.25">
      <c r="A2">
        <v>1</v>
      </c>
      <c r="B2" s="2">
        <v>44562</v>
      </c>
      <c r="C2" t="s">
        <v>9</v>
      </c>
      <c r="D2" t="s">
        <v>10</v>
      </c>
      <c r="E2" t="s">
        <v>11</v>
      </c>
      <c r="F2">
        <v>12</v>
      </c>
      <c r="G2">
        <v>150</v>
      </c>
      <c r="H2">
        <f t="shared" ref="H2:H53" si="0">SUMPRODUCT(F2,G2)</f>
        <v>1800</v>
      </c>
    </row>
    <row r="3" spans="1:8" x14ac:dyDescent="0.25">
      <c r="A3">
        <v>2</v>
      </c>
      <c r="B3" s="2">
        <v>44563</v>
      </c>
      <c r="C3" t="s">
        <v>12</v>
      </c>
      <c r="D3" t="s">
        <v>13</v>
      </c>
      <c r="E3" t="s">
        <v>14</v>
      </c>
      <c r="F3">
        <v>34</v>
      </c>
      <c r="G3">
        <v>505</v>
      </c>
      <c r="H3">
        <f t="shared" si="0"/>
        <v>17170</v>
      </c>
    </row>
    <row r="4" spans="1:8" x14ac:dyDescent="0.25">
      <c r="A4">
        <v>3</v>
      </c>
      <c r="B4" s="2">
        <v>44564</v>
      </c>
      <c r="C4" t="s">
        <v>15</v>
      </c>
      <c r="D4" t="s">
        <v>16</v>
      </c>
      <c r="E4" t="s">
        <v>17</v>
      </c>
      <c r="F4">
        <v>13</v>
      </c>
      <c r="G4">
        <v>32</v>
      </c>
      <c r="H4">
        <f t="shared" si="0"/>
        <v>416</v>
      </c>
    </row>
    <row r="5" spans="1:8" x14ac:dyDescent="0.25">
      <c r="A5">
        <v>4</v>
      </c>
      <c r="B5" s="2">
        <v>44565</v>
      </c>
      <c r="C5" t="s">
        <v>18</v>
      </c>
      <c r="D5" t="s">
        <v>10</v>
      </c>
      <c r="E5" t="s">
        <v>19</v>
      </c>
      <c r="F5">
        <v>7</v>
      </c>
      <c r="G5">
        <v>65</v>
      </c>
      <c r="H5">
        <f t="shared" si="0"/>
        <v>455</v>
      </c>
    </row>
    <row r="6" spans="1:8" x14ac:dyDescent="0.25">
      <c r="A6">
        <v>5</v>
      </c>
      <c r="B6" s="2">
        <v>44566</v>
      </c>
      <c r="C6" t="s">
        <v>12</v>
      </c>
      <c r="D6" t="s">
        <v>13</v>
      </c>
      <c r="E6" t="s">
        <v>20</v>
      </c>
      <c r="F6">
        <v>43</v>
      </c>
      <c r="G6">
        <v>25</v>
      </c>
      <c r="H6">
        <f t="shared" si="0"/>
        <v>1075</v>
      </c>
    </row>
    <row r="7" spans="1:8" x14ac:dyDescent="0.25">
      <c r="A7">
        <v>6</v>
      </c>
      <c r="B7" s="2">
        <v>44567</v>
      </c>
      <c r="C7" t="s">
        <v>15</v>
      </c>
      <c r="D7" t="s">
        <v>13</v>
      </c>
      <c r="E7" t="s">
        <v>21</v>
      </c>
      <c r="F7">
        <v>6</v>
      </c>
      <c r="G7">
        <v>12</v>
      </c>
      <c r="H7">
        <f t="shared" si="0"/>
        <v>72</v>
      </c>
    </row>
    <row r="8" spans="1:8" x14ac:dyDescent="0.25">
      <c r="A8">
        <v>7</v>
      </c>
      <c r="B8" s="2">
        <v>44568</v>
      </c>
      <c r="C8" t="s">
        <v>18</v>
      </c>
      <c r="D8" t="s">
        <v>16</v>
      </c>
      <c r="E8" t="s">
        <v>11</v>
      </c>
      <c r="F8">
        <v>23</v>
      </c>
      <c r="G8">
        <v>150</v>
      </c>
      <c r="H8">
        <f t="shared" si="0"/>
        <v>3450</v>
      </c>
    </row>
    <row r="9" spans="1:8" x14ac:dyDescent="0.25">
      <c r="A9">
        <v>8</v>
      </c>
      <c r="B9" s="2">
        <v>44569</v>
      </c>
      <c r="C9" t="s">
        <v>9</v>
      </c>
      <c r="D9" t="s">
        <v>16</v>
      </c>
      <c r="E9" t="s">
        <v>17</v>
      </c>
      <c r="F9">
        <v>65</v>
      </c>
      <c r="G9">
        <v>32</v>
      </c>
      <c r="H9">
        <f t="shared" si="0"/>
        <v>2080</v>
      </c>
    </row>
    <row r="10" spans="1:8" x14ac:dyDescent="0.25">
      <c r="A10">
        <v>9</v>
      </c>
      <c r="B10" s="2">
        <v>44570</v>
      </c>
      <c r="C10" t="s">
        <v>9</v>
      </c>
      <c r="D10" t="s">
        <v>13</v>
      </c>
      <c r="E10" t="s">
        <v>14</v>
      </c>
      <c r="F10">
        <v>11</v>
      </c>
      <c r="G10">
        <v>505</v>
      </c>
      <c r="H10">
        <f t="shared" si="0"/>
        <v>5555</v>
      </c>
    </row>
    <row r="11" spans="1:8" x14ac:dyDescent="0.25">
      <c r="A11">
        <v>10</v>
      </c>
      <c r="B11" s="2">
        <v>44571</v>
      </c>
      <c r="C11" t="s">
        <v>15</v>
      </c>
      <c r="D11" t="s">
        <v>13</v>
      </c>
      <c r="E11" t="s">
        <v>19</v>
      </c>
      <c r="F11">
        <v>62</v>
      </c>
      <c r="G11">
        <v>65</v>
      </c>
      <c r="H11">
        <f t="shared" si="0"/>
        <v>4030</v>
      </c>
    </row>
    <row r="12" spans="1:8" x14ac:dyDescent="0.25">
      <c r="A12">
        <v>11</v>
      </c>
      <c r="B12" s="2">
        <v>44572</v>
      </c>
      <c r="C12" t="s">
        <v>18</v>
      </c>
      <c r="D12" t="s">
        <v>13</v>
      </c>
      <c r="E12" t="s">
        <v>21</v>
      </c>
      <c r="F12">
        <v>70</v>
      </c>
      <c r="G12">
        <v>12</v>
      </c>
      <c r="H12">
        <f t="shared" si="0"/>
        <v>840</v>
      </c>
    </row>
    <row r="13" spans="1:8" x14ac:dyDescent="0.25">
      <c r="A13">
        <v>12</v>
      </c>
      <c r="B13" s="2">
        <v>44573</v>
      </c>
      <c r="C13" t="s">
        <v>12</v>
      </c>
      <c r="D13" t="s">
        <v>10</v>
      </c>
      <c r="E13" t="s">
        <v>20</v>
      </c>
      <c r="F13">
        <v>33</v>
      </c>
      <c r="G13">
        <v>25</v>
      </c>
      <c r="H13">
        <f t="shared" si="0"/>
        <v>825</v>
      </c>
    </row>
    <row r="14" spans="1:8" x14ac:dyDescent="0.25">
      <c r="A14">
        <v>13</v>
      </c>
      <c r="B14" s="2">
        <v>44574</v>
      </c>
      <c r="C14" t="s">
        <v>12</v>
      </c>
      <c r="D14" t="s">
        <v>10</v>
      </c>
      <c r="E14" t="s">
        <v>20</v>
      </c>
      <c r="F14">
        <v>34</v>
      </c>
      <c r="G14">
        <v>25</v>
      </c>
      <c r="H14">
        <f t="shared" si="0"/>
        <v>850</v>
      </c>
    </row>
    <row r="15" spans="1:8" x14ac:dyDescent="0.25">
      <c r="A15">
        <v>14</v>
      </c>
      <c r="B15" s="2">
        <v>44575</v>
      </c>
      <c r="C15" t="s">
        <v>9</v>
      </c>
      <c r="D15" t="s">
        <v>10</v>
      </c>
      <c r="E15" t="s">
        <v>11</v>
      </c>
      <c r="F15">
        <v>12</v>
      </c>
      <c r="G15">
        <v>150</v>
      </c>
      <c r="H15">
        <f t="shared" si="0"/>
        <v>1800</v>
      </c>
    </row>
    <row r="16" spans="1:8" x14ac:dyDescent="0.25">
      <c r="A16">
        <v>15</v>
      </c>
      <c r="B16" s="2">
        <v>44576</v>
      </c>
      <c r="C16" t="s">
        <v>12</v>
      </c>
      <c r="D16" t="s">
        <v>13</v>
      </c>
      <c r="E16" t="s">
        <v>14</v>
      </c>
      <c r="F16">
        <v>34</v>
      </c>
      <c r="G16">
        <v>505</v>
      </c>
      <c r="H16">
        <f t="shared" si="0"/>
        <v>17170</v>
      </c>
    </row>
    <row r="17" spans="1:8" x14ac:dyDescent="0.25">
      <c r="A17">
        <v>16</v>
      </c>
      <c r="B17" s="2">
        <v>44577</v>
      </c>
      <c r="C17" t="s">
        <v>15</v>
      </c>
      <c r="D17" t="s">
        <v>16</v>
      </c>
      <c r="E17" t="s">
        <v>17</v>
      </c>
      <c r="F17">
        <v>13</v>
      </c>
      <c r="G17">
        <v>32</v>
      </c>
      <c r="H17">
        <f t="shared" si="0"/>
        <v>416</v>
      </c>
    </row>
    <row r="18" spans="1:8" x14ac:dyDescent="0.25">
      <c r="A18">
        <v>17</v>
      </c>
      <c r="B18" s="2">
        <v>44578</v>
      </c>
      <c r="C18" t="s">
        <v>18</v>
      </c>
      <c r="D18" t="s">
        <v>10</v>
      </c>
      <c r="E18" t="s">
        <v>19</v>
      </c>
      <c r="F18">
        <v>7</v>
      </c>
      <c r="G18">
        <v>65</v>
      </c>
      <c r="H18">
        <f t="shared" si="0"/>
        <v>455</v>
      </c>
    </row>
    <row r="19" spans="1:8" x14ac:dyDescent="0.25">
      <c r="A19">
        <v>18</v>
      </c>
      <c r="B19" s="2">
        <v>44579</v>
      </c>
      <c r="C19" t="s">
        <v>12</v>
      </c>
      <c r="D19" t="s">
        <v>13</v>
      </c>
      <c r="E19" t="s">
        <v>20</v>
      </c>
      <c r="F19">
        <v>43</v>
      </c>
      <c r="G19">
        <v>25</v>
      </c>
      <c r="H19">
        <f t="shared" si="0"/>
        <v>1075</v>
      </c>
    </row>
    <row r="20" spans="1:8" x14ac:dyDescent="0.25">
      <c r="A20">
        <v>19</v>
      </c>
      <c r="B20" s="2">
        <v>44580</v>
      </c>
      <c r="C20" t="s">
        <v>15</v>
      </c>
      <c r="D20" t="s">
        <v>13</v>
      </c>
      <c r="E20" t="s">
        <v>21</v>
      </c>
      <c r="F20">
        <v>6</v>
      </c>
      <c r="G20">
        <v>12</v>
      </c>
      <c r="H20">
        <f t="shared" si="0"/>
        <v>72</v>
      </c>
    </row>
    <row r="21" spans="1:8" x14ac:dyDescent="0.25">
      <c r="A21">
        <v>20</v>
      </c>
      <c r="B21" s="2">
        <v>44581</v>
      </c>
      <c r="C21" t="s">
        <v>18</v>
      </c>
      <c r="D21" t="s">
        <v>16</v>
      </c>
      <c r="E21" t="s">
        <v>11</v>
      </c>
      <c r="F21">
        <v>23</v>
      </c>
      <c r="G21">
        <v>150</v>
      </c>
      <c r="H21">
        <f t="shared" si="0"/>
        <v>3450</v>
      </c>
    </row>
    <row r="22" spans="1:8" x14ac:dyDescent="0.25">
      <c r="A22">
        <v>21</v>
      </c>
      <c r="B22" s="2">
        <v>44582</v>
      </c>
      <c r="C22" t="s">
        <v>9</v>
      </c>
      <c r="D22" t="s">
        <v>16</v>
      </c>
      <c r="E22" t="s">
        <v>17</v>
      </c>
      <c r="F22">
        <v>65</v>
      </c>
      <c r="G22">
        <v>32</v>
      </c>
      <c r="H22">
        <f t="shared" si="0"/>
        <v>2080</v>
      </c>
    </row>
    <row r="23" spans="1:8" x14ac:dyDescent="0.25">
      <c r="A23">
        <v>22</v>
      </c>
      <c r="B23" s="2">
        <v>44583</v>
      </c>
      <c r="C23" t="s">
        <v>9</v>
      </c>
      <c r="D23" t="s">
        <v>13</v>
      </c>
      <c r="E23" t="s">
        <v>14</v>
      </c>
      <c r="F23">
        <v>11</v>
      </c>
      <c r="G23">
        <v>505</v>
      </c>
      <c r="H23">
        <f t="shared" si="0"/>
        <v>5555</v>
      </c>
    </row>
    <row r="24" spans="1:8" x14ac:dyDescent="0.25">
      <c r="A24">
        <v>23</v>
      </c>
      <c r="B24" s="2">
        <v>44584</v>
      </c>
      <c r="C24" t="s">
        <v>15</v>
      </c>
      <c r="D24" t="s">
        <v>13</v>
      </c>
      <c r="E24" t="s">
        <v>19</v>
      </c>
      <c r="F24">
        <v>62</v>
      </c>
      <c r="G24">
        <v>65</v>
      </c>
      <c r="H24">
        <f t="shared" si="0"/>
        <v>4030</v>
      </c>
    </row>
    <row r="25" spans="1:8" x14ac:dyDescent="0.25">
      <c r="A25">
        <v>24</v>
      </c>
      <c r="B25" s="2">
        <v>44585</v>
      </c>
      <c r="C25" t="s">
        <v>18</v>
      </c>
      <c r="D25" t="s">
        <v>13</v>
      </c>
      <c r="E25" t="s">
        <v>21</v>
      </c>
      <c r="F25">
        <v>70</v>
      </c>
      <c r="G25">
        <v>12</v>
      </c>
      <c r="H25">
        <f t="shared" si="0"/>
        <v>840</v>
      </c>
    </row>
    <row r="26" spans="1:8" x14ac:dyDescent="0.25">
      <c r="A26">
        <v>25</v>
      </c>
      <c r="B26" s="2">
        <v>44586</v>
      </c>
      <c r="C26" t="s">
        <v>12</v>
      </c>
      <c r="D26" t="s">
        <v>10</v>
      </c>
      <c r="E26" t="s">
        <v>20</v>
      </c>
      <c r="F26">
        <v>33</v>
      </c>
      <c r="G26">
        <v>25</v>
      </c>
      <c r="H26">
        <f t="shared" si="0"/>
        <v>825</v>
      </c>
    </row>
    <row r="27" spans="1:8" x14ac:dyDescent="0.25">
      <c r="A27">
        <v>26</v>
      </c>
      <c r="B27" s="2">
        <v>44587</v>
      </c>
      <c r="C27" t="s">
        <v>18</v>
      </c>
      <c r="D27" t="s">
        <v>10</v>
      </c>
      <c r="E27" t="s">
        <v>20</v>
      </c>
      <c r="F27">
        <v>23</v>
      </c>
      <c r="G27">
        <v>25</v>
      </c>
      <c r="H27">
        <f t="shared" si="0"/>
        <v>575</v>
      </c>
    </row>
    <row r="28" spans="1:8" x14ac:dyDescent="0.25">
      <c r="A28">
        <v>27</v>
      </c>
      <c r="B28" s="2">
        <v>44588</v>
      </c>
      <c r="C28" t="s">
        <v>9</v>
      </c>
      <c r="D28" t="s">
        <v>10</v>
      </c>
      <c r="E28" t="s">
        <v>11</v>
      </c>
      <c r="F28">
        <v>12</v>
      </c>
      <c r="G28">
        <v>150</v>
      </c>
      <c r="H28">
        <f t="shared" si="0"/>
        <v>1800</v>
      </c>
    </row>
    <row r="29" spans="1:8" x14ac:dyDescent="0.25">
      <c r="A29">
        <v>28</v>
      </c>
      <c r="B29" s="2">
        <v>44589</v>
      </c>
      <c r="C29" t="s">
        <v>12</v>
      </c>
      <c r="D29" t="s">
        <v>13</v>
      </c>
      <c r="E29" t="s">
        <v>14</v>
      </c>
      <c r="F29">
        <v>34</v>
      </c>
      <c r="G29">
        <v>505</v>
      </c>
      <c r="H29">
        <f t="shared" si="0"/>
        <v>17170</v>
      </c>
    </row>
    <row r="30" spans="1:8" x14ac:dyDescent="0.25">
      <c r="A30">
        <v>29</v>
      </c>
      <c r="B30" s="2">
        <v>44590</v>
      </c>
      <c r="C30" t="s">
        <v>15</v>
      </c>
      <c r="D30" t="s">
        <v>16</v>
      </c>
      <c r="E30" t="s">
        <v>17</v>
      </c>
      <c r="F30">
        <v>13</v>
      </c>
      <c r="G30">
        <v>32</v>
      </c>
      <c r="H30">
        <f t="shared" si="0"/>
        <v>416</v>
      </c>
    </row>
    <row r="31" spans="1:8" x14ac:dyDescent="0.25">
      <c r="A31">
        <v>30</v>
      </c>
      <c r="B31" s="2">
        <v>44591</v>
      </c>
      <c r="C31" t="s">
        <v>18</v>
      </c>
      <c r="D31" t="s">
        <v>10</v>
      </c>
      <c r="E31" t="s">
        <v>19</v>
      </c>
      <c r="F31">
        <v>7</v>
      </c>
      <c r="G31">
        <v>65</v>
      </c>
      <c r="H31">
        <f t="shared" si="0"/>
        <v>455</v>
      </c>
    </row>
    <row r="32" spans="1:8" x14ac:dyDescent="0.25">
      <c r="A32">
        <v>31</v>
      </c>
      <c r="B32" s="2">
        <v>44592</v>
      </c>
      <c r="C32" t="s">
        <v>12</v>
      </c>
      <c r="D32" t="s">
        <v>13</v>
      </c>
      <c r="E32" t="s">
        <v>20</v>
      </c>
      <c r="F32">
        <v>43</v>
      </c>
      <c r="G32">
        <v>25</v>
      </c>
      <c r="H32">
        <f t="shared" si="0"/>
        <v>1075</v>
      </c>
    </row>
    <row r="33" spans="1:8" x14ac:dyDescent="0.25">
      <c r="A33">
        <v>32</v>
      </c>
      <c r="B33" s="2">
        <v>44593</v>
      </c>
      <c r="C33" t="s">
        <v>15</v>
      </c>
      <c r="D33" t="s">
        <v>13</v>
      </c>
      <c r="E33" t="s">
        <v>21</v>
      </c>
      <c r="F33">
        <v>6</v>
      </c>
      <c r="G33">
        <v>12</v>
      </c>
      <c r="H33">
        <f t="shared" si="0"/>
        <v>72</v>
      </c>
    </row>
    <row r="34" spans="1:8" x14ac:dyDescent="0.25">
      <c r="A34">
        <v>33</v>
      </c>
      <c r="B34" s="2">
        <v>44594</v>
      </c>
      <c r="C34" t="s">
        <v>18</v>
      </c>
      <c r="D34" t="s">
        <v>16</v>
      </c>
      <c r="E34" t="s">
        <v>11</v>
      </c>
      <c r="F34">
        <v>23</v>
      </c>
      <c r="G34">
        <v>150</v>
      </c>
      <c r="H34">
        <f t="shared" si="0"/>
        <v>3450</v>
      </c>
    </row>
    <row r="35" spans="1:8" x14ac:dyDescent="0.25">
      <c r="A35">
        <v>34</v>
      </c>
      <c r="B35" s="2">
        <v>44595</v>
      </c>
      <c r="C35" t="s">
        <v>9</v>
      </c>
      <c r="D35" t="s">
        <v>16</v>
      </c>
      <c r="E35" t="s">
        <v>17</v>
      </c>
      <c r="F35">
        <v>65</v>
      </c>
      <c r="G35">
        <v>32</v>
      </c>
      <c r="H35">
        <f t="shared" si="0"/>
        <v>2080</v>
      </c>
    </row>
    <row r="36" spans="1:8" x14ac:dyDescent="0.25">
      <c r="A36">
        <v>35</v>
      </c>
      <c r="B36" s="2">
        <v>44596</v>
      </c>
      <c r="C36" t="s">
        <v>9</v>
      </c>
      <c r="D36" t="s">
        <v>13</v>
      </c>
      <c r="E36" t="s">
        <v>14</v>
      </c>
      <c r="F36">
        <v>11</v>
      </c>
      <c r="G36">
        <v>505</v>
      </c>
      <c r="H36">
        <f t="shared" si="0"/>
        <v>5555</v>
      </c>
    </row>
    <row r="37" spans="1:8" x14ac:dyDescent="0.25">
      <c r="A37">
        <v>36</v>
      </c>
      <c r="B37" s="2">
        <v>44597</v>
      </c>
      <c r="C37" t="s">
        <v>15</v>
      </c>
      <c r="D37" t="s">
        <v>13</v>
      </c>
      <c r="E37" t="s">
        <v>19</v>
      </c>
      <c r="F37">
        <v>62</v>
      </c>
      <c r="G37">
        <v>65</v>
      </c>
      <c r="H37">
        <f t="shared" si="0"/>
        <v>4030</v>
      </c>
    </row>
    <row r="38" spans="1:8" x14ac:dyDescent="0.25">
      <c r="A38">
        <v>37</v>
      </c>
      <c r="B38" s="2">
        <v>44598</v>
      </c>
      <c r="C38" t="s">
        <v>18</v>
      </c>
      <c r="D38" t="s">
        <v>13</v>
      </c>
      <c r="E38" t="s">
        <v>21</v>
      </c>
      <c r="F38">
        <v>70</v>
      </c>
      <c r="G38">
        <v>12</v>
      </c>
      <c r="H38">
        <f t="shared" si="0"/>
        <v>840</v>
      </c>
    </row>
    <row r="39" spans="1:8" x14ac:dyDescent="0.25">
      <c r="A39">
        <v>38</v>
      </c>
      <c r="B39" s="2">
        <v>44599</v>
      </c>
      <c r="C39" t="s">
        <v>12</v>
      </c>
      <c r="D39" t="s">
        <v>10</v>
      </c>
      <c r="E39" t="s">
        <v>20</v>
      </c>
      <c r="F39">
        <v>33</v>
      </c>
      <c r="G39">
        <v>25</v>
      </c>
      <c r="H39">
        <f t="shared" si="0"/>
        <v>825</v>
      </c>
    </row>
    <row r="40" spans="1:8" x14ac:dyDescent="0.25">
      <c r="A40">
        <v>39</v>
      </c>
      <c r="B40" s="2">
        <v>44600</v>
      </c>
      <c r="C40" t="s">
        <v>12</v>
      </c>
      <c r="D40" t="s">
        <v>10</v>
      </c>
      <c r="E40" t="s">
        <v>20</v>
      </c>
      <c r="F40">
        <v>34</v>
      </c>
      <c r="G40">
        <v>25</v>
      </c>
      <c r="H40">
        <f t="shared" si="0"/>
        <v>850</v>
      </c>
    </row>
    <row r="41" spans="1:8" x14ac:dyDescent="0.25">
      <c r="A41">
        <v>40</v>
      </c>
      <c r="B41" s="2">
        <v>44601</v>
      </c>
      <c r="C41" t="s">
        <v>9</v>
      </c>
      <c r="D41" t="s">
        <v>10</v>
      </c>
      <c r="E41" t="s">
        <v>11</v>
      </c>
      <c r="F41">
        <v>12</v>
      </c>
      <c r="G41">
        <v>150</v>
      </c>
      <c r="H41">
        <f t="shared" si="0"/>
        <v>1800</v>
      </c>
    </row>
    <row r="42" spans="1:8" x14ac:dyDescent="0.25">
      <c r="A42">
        <v>41</v>
      </c>
      <c r="B42" s="2">
        <v>44602</v>
      </c>
      <c r="C42" t="s">
        <v>12</v>
      </c>
      <c r="D42" t="s">
        <v>13</v>
      </c>
      <c r="E42" t="s">
        <v>14</v>
      </c>
      <c r="F42">
        <v>34</v>
      </c>
      <c r="G42">
        <v>505</v>
      </c>
      <c r="H42">
        <f t="shared" si="0"/>
        <v>17170</v>
      </c>
    </row>
    <row r="43" spans="1:8" x14ac:dyDescent="0.25">
      <c r="A43">
        <v>42</v>
      </c>
      <c r="B43" s="2">
        <v>44603</v>
      </c>
      <c r="C43" t="s">
        <v>15</v>
      </c>
      <c r="D43" t="s">
        <v>16</v>
      </c>
      <c r="E43" t="s">
        <v>17</v>
      </c>
      <c r="F43">
        <v>13</v>
      </c>
      <c r="G43">
        <v>32</v>
      </c>
      <c r="H43">
        <f t="shared" si="0"/>
        <v>416</v>
      </c>
    </row>
    <row r="44" spans="1:8" x14ac:dyDescent="0.25">
      <c r="A44">
        <v>43</v>
      </c>
      <c r="B44" s="2">
        <v>44604</v>
      </c>
      <c r="C44" t="s">
        <v>18</v>
      </c>
      <c r="D44" t="s">
        <v>10</v>
      </c>
      <c r="E44" t="s">
        <v>19</v>
      </c>
      <c r="F44">
        <v>7</v>
      </c>
      <c r="G44">
        <v>65</v>
      </c>
      <c r="H44">
        <f t="shared" si="0"/>
        <v>455</v>
      </c>
    </row>
    <row r="45" spans="1:8" x14ac:dyDescent="0.25">
      <c r="A45">
        <v>44</v>
      </c>
      <c r="B45" s="2">
        <v>44605</v>
      </c>
      <c r="C45" t="s">
        <v>12</v>
      </c>
      <c r="D45" t="s">
        <v>13</v>
      </c>
      <c r="E45" t="s">
        <v>20</v>
      </c>
      <c r="F45">
        <v>43</v>
      </c>
      <c r="G45">
        <v>25</v>
      </c>
      <c r="H45">
        <f t="shared" si="0"/>
        <v>1075</v>
      </c>
    </row>
    <row r="46" spans="1:8" x14ac:dyDescent="0.25">
      <c r="A46">
        <v>45</v>
      </c>
      <c r="B46" s="2">
        <v>44606</v>
      </c>
      <c r="C46" t="s">
        <v>15</v>
      </c>
      <c r="D46" t="s">
        <v>13</v>
      </c>
      <c r="E46" t="s">
        <v>21</v>
      </c>
      <c r="F46">
        <v>6</v>
      </c>
      <c r="G46">
        <v>12</v>
      </c>
      <c r="H46">
        <f t="shared" si="0"/>
        <v>72</v>
      </c>
    </row>
    <row r="47" spans="1:8" x14ac:dyDescent="0.25">
      <c r="A47">
        <v>46</v>
      </c>
      <c r="B47" s="2">
        <v>44607</v>
      </c>
      <c r="C47" t="s">
        <v>18</v>
      </c>
      <c r="D47" t="s">
        <v>16</v>
      </c>
      <c r="E47" t="s">
        <v>11</v>
      </c>
      <c r="F47">
        <v>23</v>
      </c>
      <c r="G47">
        <v>150</v>
      </c>
      <c r="H47">
        <f t="shared" si="0"/>
        <v>3450</v>
      </c>
    </row>
    <row r="48" spans="1:8" x14ac:dyDescent="0.25">
      <c r="A48">
        <v>47</v>
      </c>
      <c r="B48" s="2">
        <v>44608</v>
      </c>
      <c r="C48" t="s">
        <v>9</v>
      </c>
      <c r="D48" t="s">
        <v>16</v>
      </c>
      <c r="E48" t="s">
        <v>17</v>
      </c>
      <c r="F48">
        <v>65</v>
      </c>
      <c r="G48">
        <v>32</v>
      </c>
      <c r="H48">
        <f t="shared" si="0"/>
        <v>2080</v>
      </c>
    </row>
    <row r="49" spans="1:8" x14ac:dyDescent="0.25">
      <c r="A49">
        <v>48</v>
      </c>
      <c r="B49" s="2">
        <v>44609</v>
      </c>
      <c r="C49" t="s">
        <v>9</v>
      </c>
      <c r="D49" t="s">
        <v>13</v>
      </c>
      <c r="E49" t="s">
        <v>14</v>
      </c>
      <c r="F49">
        <v>11</v>
      </c>
      <c r="G49">
        <v>505</v>
      </c>
      <c r="H49">
        <f t="shared" si="0"/>
        <v>5555</v>
      </c>
    </row>
    <row r="50" spans="1:8" x14ac:dyDescent="0.25">
      <c r="A50">
        <v>49</v>
      </c>
      <c r="B50" s="2">
        <v>44610</v>
      </c>
      <c r="C50" t="s">
        <v>15</v>
      </c>
      <c r="D50" t="s">
        <v>13</v>
      </c>
      <c r="E50" t="s">
        <v>19</v>
      </c>
      <c r="F50">
        <v>62</v>
      </c>
      <c r="G50">
        <v>65</v>
      </c>
      <c r="H50">
        <f t="shared" si="0"/>
        <v>4030</v>
      </c>
    </row>
    <row r="51" spans="1:8" x14ac:dyDescent="0.25">
      <c r="A51">
        <v>50</v>
      </c>
      <c r="B51" s="2">
        <v>44611</v>
      </c>
      <c r="C51" t="s">
        <v>18</v>
      </c>
      <c r="D51" t="s">
        <v>13</v>
      </c>
      <c r="E51" t="s">
        <v>21</v>
      </c>
      <c r="F51">
        <v>70</v>
      </c>
      <c r="G51">
        <v>12</v>
      </c>
      <c r="H51">
        <f t="shared" si="0"/>
        <v>840</v>
      </c>
    </row>
    <row r="52" spans="1:8" x14ac:dyDescent="0.25">
      <c r="A52">
        <v>51</v>
      </c>
      <c r="B52" s="2">
        <v>44612</v>
      </c>
      <c r="C52" t="s">
        <v>12</v>
      </c>
      <c r="D52" t="s">
        <v>10</v>
      </c>
      <c r="E52" t="s">
        <v>20</v>
      </c>
      <c r="F52">
        <v>33</v>
      </c>
      <c r="G52">
        <v>25</v>
      </c>
      <c r="H52">
        <f t="shared" si="0"/>
        <v>825</v>
      </c>
    </row>
    <row r="53" spans="1:8" x14ac:dyDescent="0.25">
      <c r="A53">
        <v>52</v>
      </c>
      <c r="B53" s="2">
        <v>44613</v>
      </c>
      <c r="C53" t="s">
        <v>9</v>
      </c>
      <c r="D53" t="s">
        <v>13</v>
      </c>
      <c r="E53" t="s">
        <v>14</v>
      </c>
      <c r="F53">
        <v>60</v>
      </c>
      <c r="G53">
        <v>505</v>
      </c>
      <c r="H53">
        <f t="shared" si="0"/>
        <v>30300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8F1A-0C94-42FB-B3A0-C2E8CEA24E6F}">
  <dimension ref="A2:O19"/>
  <sheetViews>
    <sheetView topLeftCell="D1" workbookViewId="0">
      <selection activeCell="N3" sqref="N3"/>
    </sheetView>
  </sheetViews>
  <sheetFormatPr defaultRowHeight="15" x14ac:dyDescent="0.25"/>
  <cols>
    <col min="1" max="1" width="13.140625" bestFit="1" customWidth="1"/>
    <col min="2" max="2" width="12" bestFit="1" customWidth="1"/>
    <col min="3" max="3" width="14.85546875" bestFit="1" customWidth="1"/>
    <col min="5" max="5" width="12.140625" bestFit="1" customWidth="1"/>
    <col min="6" max="6" width="12" bestFit="1" customWidth="1"/>
    <col min="8" max="8" width="12.140625" bestFit="1" customWidth="1"/>
    <col min="9" max="9" width="12" bestFit="1" customWidth="1"/>
    <col min="11" max="11" width="12.140625" bestFit="1" customWidth="1"/>
    <col min="12" max="12" width="14.85546875" bestFit="1" customWidth="1"/>
    <col min="14" max="14" width="12.140625" bestFit="1" customWidth="1"/>
    <col min="15" max="15" width="12" bestFit="1" customWidth="1"/>
  </cols>
  <sheetData>
    <row r="2" spans="1:15" x14ac:dyDescent="0.25">
      <c r="A2" s="3" t="s">
        <v>20</v>
      </c>
      <c r="B2" t="s">
        <v>24</v>
      </c>
      <c r="E2" s="3" t="s">
        <v>20</v>
      </c>
      <c r="F2" t="s">
        <v>26</v>
      </c>
      <c r="H2" s="3" t="s">
        <v>20</v>
      </c>
      <c r="I2" t="s">
        <v>24</v>
      </c>
      <c r="K2" s="3" t="s">
        <v>20</v>
      </c>
      <c r="L2" t="s">
        <v>24</v>
      </c>
      <c r="N2" s="3" t="s">
        <v>20</v>
      </c>
      <c r="O2" t="s">
        <v>25</v>
      </c>
    </row>
    <row r="3" spans="1:15" x14ac:dyDescent="0.25">
      <c r="A3" s="4" t="s">
        <v>20</v>
      </c>
      <c r="B3" s="5">
        <v>9875</v>
      </c>
      <c r="E3" s="4" t="s">
        <v>20</v>
      </c>
      <c r="F3" s="5">
        <v>395</v>
      </c>
      <c r="H3" s="4" t="s">
        <v>18</v>
      </c>
      <c r="I3" s="5">
        <v>19555</v>
      </c>
      <c r="K3" s="4" t="s">
        <v>20</v>
      </c>
      <c r="L3" s="5">
        <v>9875</v>
      </c>
      <c r="N3" s="4" t="s">
        <v>13</v>
      </c>
      <c r="O3" s="5">
        <v>5001</v>
      </c>
    </row>
    <row r="4" spans="1:15" x14ac:dyDescent="0.25">
      <c r="A4" s="4" t="s">
        <v>17</v>
      </c>
      <c r="B4" s="5">
        <v>9984</v>
      </c>
      <c r="E4" s="4" t="s">
        <v>17</v>
      </c>
      <c r="F4" s="5">
        <v>312</v>
      </c>
      <c r="H4" s="4" t="s">
        <v>15</v>
      </c>
      <c r="I4" s="5">
        <v>18072</v>
      </c>
      <c r="K4" s="4" t="s">
        <v>17</v>
      </c>
      <c r="L4" s="5">
        <v>9984</v>
      </c>
      <c r="N4" s="4" t="s">
        <v>10</v>
      </c>
      <c r="O4" s="5">
        <v>1035</v>
      </c>
    </row>
    <row r="5" spans="1:15" x14ac:dyDescent="0.25">
      <c r="A5" s="4" t="s">
        <v>21</v>
      </c>
      <c r="B5" s="5">
        <v>3648</v>
      </c>
      <c r="E5" s="4" t="s">
        <v>21</v>
      </c>
      <c r="F5" s="5">
        <v>304</v>
      </c>
      <c r="H5" s="4" t="s">
        <v>12</v>
      </c>
      <c r="I5" s="5">
        <v>77980</v>
      </c>
      <c r="K5" s="4" t="s">
        <v>21</v>
      </c>
      <c r="L5" s="5">
        <v>3648</v>
      </c>
      <c r="N5" s="4" t="s">
        <v>16</v>
      </c>
      <c r="O5" s="5">
        <v>856</v>
      </c>
    </row>
    <row r="6" spans="1:15" x14ac:dyDescent="0.25">
      <c r="A6" s="4" t="s">
        <v>14</v>
      </c>
      <c r="B6" s="5">
        <v>121200</v>
      </c>
      <c r="E6" s="4" t="s">
        <v>14</v>
      </c>
      <c r="F6" s="5">
        <v>240</v>
      </c>
      <c r="H6" s="4" t="s">
        <v>9</v>
      </c>
      <c r="I6" s="5">
        <v>68040</v>
      </c>
      <c r="K6" s="4" t="s">
        <v>14</v>
      </c>
      <c r="L6" s="5">
        <v>121200</v>
      </c>
      <c r="N6" s="4" t="s">
        <v>23</v>
      </c>
      <c r="O6" s="5">
        <v>6892</v>
      </c>
    </row>
    <row r="7" spans="1:15" x14ac:dyDescent="0.25">
      <c r="A7" s="4" t="s">
        <v>11</v>
      </c>
      <c r="B7" s="5">
        <v>21000</v>
      </c>
      <c r="E7" s="4" t="s">
        <v>11</v>
      </c>
      <c r="F7" s="5">
        <v>140</v>
      </c>
      <c r="H7" s="4" t="s">
        <v>23</v>
      </c>
      <c r="I7" s="5">
        <v>183647</v>
      </c>
      <c r="K7" s="4" t="s">
        <v>11</v>
      </c>
      <c r="L7" s="5">
        <v>21000</v>
      </c>
    </row>
    <row r="8" spans="1:15" x14ac:dyDescent="0.25">
      <c r="A8" s="4" t="s">
        <v>19</v>
      </c>
      <c r="B8" s="5">
        <v>17940</v>
      </c>
      <c r="E8" s="4" t="s">
        <v>19</v>
      </c>
      <c r="F8" s="5">
        <v>276</v>
      </c>
      <c r="K8" s="4" t="s">
        <v>19</v>
      </c>
      <c r="L8" s="5">
        <v>17940</v>
      </c>
    </row>
    <row r="9" spans="1:15" x14ac:dyDescent="0.25">
      <c r="A9" s="4" t="s">
        <v>23</v>
      </c>
      <c r="B9" s="5">
        <v>183647</v>
      </c>
      <c r="C9">
        <f>GETPIVOTDATA("Amount",$A$2)</f>
        <v>183647</v>
      </c>
      <c r="E9" s="4" t="s">
        <v>23</v>
      </c>
      <c r="F9" s="5">
        <v>1667</v>
      </c>
      <c r="K9" s="4" t="s">
        <v>23</v>
      </c>
      <c r="L9" s="5">
        <v>183647</v>
      </c>
    </row>
    <row r="12" spans="1:15" x14ac:dyDescent="0.25">
      <c r="A12" s="3" t="s">
        <v>22</v>
      </c>
      <c r="B12" t="s">
        <v>25</v>
      </c>
      <c r="E12" s="3" t="s">
        <v>20</v>
      </c>
      <c r="F12" t="s">
        <v>25</v>
      </c>
      <c r="H12" s="3" t="s">
        <v>20</v>
      </c>
      <c r="I12" t="s">
        <v>25</v>
      </c>
      <c r="J12" s="3"/>
      <c r="K12" s="3" t="s">
        <v>20</v>
      </c>
      <c r="L12" t="s">
        <v>24</v>
      </c>
      <c r="M12" s="3"/>
    </row>
    <row r="13" spans="1:15" x14ac:dyDescent="0.25">
      <c r="A13" s="4" t="s">
        <v>20</v>
      </c>
      <c r="B13" s="5">
        <v>275</v>
      </c>
      <c r="E13" s="4" t="s">
        <v>20</v>
      </c>
      <c r="F13" s="5">
        <v>275</v>
      </c>
      <c r="H13" s="4" t="s">
        <v>18</v>
      </c>
      <c r="I13" s="5">
        <v>933</v>
      </c>
      <c r="K13" s="4" t="s">
        <v>13</v>
      </c>
      <c r="L13" s="5">
        <v>145268</v>
      </c>
    </row>
    <row r="14" spans="1:15" x14ac:dyDescent="0.25">
      <c r="A14" s="4" t="s">
        <v>17</v>
      </c>
      <c r="B14" s="5">
        <v>256</v>
      </c>
      <c r="E14" s="4" t="s">
        <v>17</v>
      </c>
      <c r="F14" s="5">
        <v>256</v>
      </c>
      <c r="H14" s="4" t="s">
        <v>15</v>
      </c>
      <c r="I14" s="5">
        <v>436</v>
      </c>
      <c r="K14" s="4" t="s">
        <v>10</v>
      </c>
      <c r="L14" s="5">
        <v>14595</v>
      </c>
    </row>
    <row r="15" spans="1:15" x14ac:dyDescent="0.25">
      <c r="A15" s="4" t="s">
        <v>21</v>
      </c>
      <c r="B15" s="5">
        <v>96</v>
      </c>
      <c r="E15" s="4" t="s">
        <v>21</v>
      </c>
      <c r="F15" s="5">
        <v>96</v>
      </c>
      <c r="H15" s="4" t="s">
        <v>12</v>
      </c>
      <c r="I15" s="5">
        <v>2270</v>
      </c>
      <c r="K15" s="4" t="s">
        <v>16</v>
      </c>
      <c r="L15" s="5">
        <v>23784</v>
      </c>
    </row>
    <row r="16" spans="1:15" x14ac:dyDescent="0.25">
      <c r="A16" s="4" t="s">
        <v>14</v>
      </c>
      <c r="B16" s="5">
        <v>4545</v>
      </c>
      <c r="E16" s="4" t="s">
        <v>14</v>
      </c>
      <c r="F16" s="5">
        <v>4545</v>
      </c>
      <c r="H16" s="4" t="s">
        <v>9</v>
      </c>
      <c r="I16" s="5">
        <v>3253</v>
      </c>
      <c r="K16" s="4" t="s">
        <v>23</v>
      </c>
      <c r="L16" s="5">
        <v>183647</v>
      </c>
    </row>
    <row r="17" spans="1:9" x14ac:dyDescent="0.25">
      <c r="A17" s="4" t="s">
        <v>11</v>
      </c>
      <c r="B17" s="5">
        <v>1200</v>
      </c>
      <c r="E17" s="4" t="s">
        <v>11</v>
      </c>
      <c r="F17" s="5">
        <v>1200</v>
      </c>
      <c r="H17" s="4" t="s">
        <v>23</v>
      </c>
      <c r="I17" s="5">
        <v>6892</v>
      </c>
    </row>
    <row r="18" spans="1:9" x14ac:dyDescent="0.25">
      <c r="A18" s="4" t="s">
        <v>19</v>
      </c>
      <c r="B18" s="5">
        <v>520</v>
      </c>
      <c r="E18" s="4" t="s">
        <v>19</v>
      </c>
      <c r="F18" s="5">
        <v>520</v>
      </c>
    </row>
    <row r="19" spans="1:9" x14ac:dyDescent="0.25">
      <c r="A19" s="4" t="s">
        <v>23</v>
      </c>
      <c r="B19" s="5">
        <v>6892</v>
      </c>
      <c r="C19">
        <f>GETPIVOTDATA("Price",$A$12)</f>
        <v>6892</v>
      </c>
      <c r="E19" s="4" t="s">
        <v>23</v>
      </c>
      <c r="F19" s="5">
        <v>6892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REGIONAL REPORT</vt:lpstr>
      <vt:lpstr>MONTHLY REPORT</vt:lpstr>
      <vt:lpstr>SALEMEN PERFORMANCE</vt:lpstr>
      <vt:lpstr>DASHBOARD </vt:lpstr>
      <vt:lpstr>DATA</vt:lpstr>
      <vt:lpstr>PIVOT TABLE</vt:lpstr>
      <vt:lpstr>DATA!ExternalData_2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2023-05-26T13:40:11Z</dcterms:created>
  <dcterms:modified xsi:type="dcterms:W3CDTF">2023-06-05T22:33:08Z</dcterms:modified>
</cp:coreProperties>
</file>